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3c215fd222923d4/Desktop/"/>
    </mc:Choice>
  </mc:AlternateContent>
  <xr:revisionPtr revIDLastSave="4" documentId="11_8EA7C2D42819EE1F7C48A86CD88B42BD67A14F1A" xr6:coauthVersionLast="47" xr6:coauthVersionMax="47" xr10:uidLastSave="{7C6E61F2-658A-454D-95D9-15C438CDEF16}"/>
  <bookViews>
    <workbookView xWindow="-108" yWindow="-108" windowWidth="23256" windowHeight="12456" tabRatio="500" activeTab="4" xr2:uid="{00000000-000D-0000-FFFF-FFFF00000000}"/>
  </bookViews>
  <sheets>
    <sheet name="Cover" sheetId="1" r:id="rId1"/>
    <sheet name="Summary" sheetId="2" r:id="rId2"/>
    <sheet name="Data Input" sheetId="4" r:id="rId3"/>
    <sheet name="Assumptions" sheetId="5" r:id="rId4"/>
    <sheet name="Cash flow" sheetId="6" r:id="rId5"/>
    <sheet name="DCF" sheetId="7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" i="7" l="1"/>
  <c r="F61" i="7"/>
  <c r="E61" i="7"/>
  <c r="D61" i="7"/>
  <c r="C61" i="7"/>
  <c r="C56" i="7"/>
  <c r="C54" i="7"/>
  <c r="C52" i="7"/>
  <c r="C51" i="7"/>
  <c r="C50" i="7"/>
  <c r="C49" i="7"/>
  <c r="C48" i="7"/>
  <c r="C58" i="7" s="1"/>
  <c r="C17" i="2" s="1"/>
  <c r="F36" i="7"/>
  <c r="G36" i="7" s="1"/>
  <c r="H36" i="7" s="1"/>
  <c r="I36" i="7" s="1"/>
  <c r="J36" i="7" s="1"/>
  <c r="F31" i="7"/>
  <c r="E31" i="7"/>
  <c r="D31" i="7"/>
  <c r="E28" i="7"/>
  <c r="D28" i="7"/>
  <c r="C28" i="7"/>
  <c r="E27" i="7"/>
  <c r="D27" i="7"/>
  <c r="F26" i="7"/>
  <c r="E26" i="7"/>
  <c r="D26" i="7"/>
  <c r="C26" i="7"/>
  <c r="C17" i="7"/>
  <c r="C18" i="7" s="1"/>
  <c r="C16" i="7"/>
  <c r="C14" i="7"/>
  <c r="C15" i="7" s="1"/>
  <c r="C12" i="7"/>
  <c r="C19" i="7" s="1"/>
  <c r="C4" i="7"/>
  <c r="E35" i="6"/>
  <c r="E36" i="6" s="1"/>
  <c r="E35" i="2" s="1"/>
  <c r="F28" i="6"/>
  <c r="J23" i="6"/>
  <c r="I23" i="6"/>
  <c r="H23" i="6"/>
  <c r="G23" i="6"/>
  <c r="F23" i="6"/>
  <c r="J21" i="6"/>
  <c r="I21" i="6"/>
  <c r="H21" i="6"/>
  <c r="G21" i="6"/>
  <c r="F21" i="6"/>
  <c r="F17" i="6"/>
  <c r="F7" i="6"/>
  <c r="J25" i="5"/>
  <c r="I25" i="5"/>
  <c r="H25" i="5"/>
  <c r="G25" i="5"/>
  <c r="F25" i="5"/>
  <c r="E25" i="5"/>
  <c r="J24" i="5"/>
  <c r="I24" i="5"/>
  <c r="H24" i="5"/>
  <c r="G24" i="5"/>
  <c r="F24" i="5"/>
  <c r="E24" i="5"/>
  <c r="E20" i="5"/>
  <c r="D20" i="5"/>
  <c r="E19" i="5"/>
  <c r="D19" i="5"/>
  <c r="E17" i="5"/>
  <c r="D17" i="5"/>
  <c r="J16" i="5"/>
  <c r="I16" i="5"/>
  <c r="H16" i="5"/>
  <c r="G16" i="5"/>
  <c r="F16" i="5"/>
  <c r="F16" i="6" s="1"/>
  <c r="E16" i="5"/>
  <c r="D16" i="5"/>
  <c r="E14" i="5"/>
  <c r="D14" i="5"/>
  <c r="J10" i="5"/>
  <c r="I10" i="5"/>
  <c r="H10" i="5"/>
  <c r="G10" i="5"/>
  <c r="F10" i="5"/>
  <c r="E9" i="5"/>
  <c r="D9" i="5"/>
  <c r="C9" i="5"/>
  <c r="E8" i="5"/>
  <c r="D8" i="5"/>
  <c r="J7" i="5"/>
  <c r="I7" i="5"/>
  <c r="H7" i="5"/>
  <c r="G7" i="5"/>
  <c r="F7" i="5"/>
  <c r="E7" i="5"/>
  <c r="D7" i="5"/>
  <c r="C7" i="5"/>
  <c r="J6" i="5"/>
  <c r="I6" i="5"/>
  <c r="H6" i="5"/>
  <c r="G6" i="5"/>
  <c r="F6" i="5"/>
  <c r="D4" i="5"/>
  <c r="E46" i="4"/>
  <c r="D46" i="4"/>
  <c r="C46" i="4"/>
  <c r="E45" i="4"/>
  <c r="D45" i="4"/>
  <c r="D48" i="4" s="1"/>
  <c r="C45" i="4"/>
  <c r="C48" i="4" s="1"/>
  <c r="E41" i="4"/>
  <c r="D41" i="4"/>
  <c r="D42" i="4" s="1"/>
  <c r="C41" i="4"/>
  <c r="C42" i="4" s="1"/>
  <c r="F37" i="4"/>
  <c r="F36" i="4"/>
  <c r="E36" i="4"/>
  <c r="D36" i="4"/>
  <c r="D38" i="4" s="1"/>
  <c r="C36" i="4"/>
  <c r="C38" i="4" s="1"/>
  <c r="C43" i="4" s="1"/>
  <c r="C49" i="4" s="1"/>
  <c r="E32" i="4"/>
  <c r="D32" i="4"/>
  <c r="D33" i="4" s="1"/>
  <c r="C32" i="4"/>
  <c r="C33" i="4" s="1"/>
  <c r="F30" i="4"/>
  <c r="F11" i="6" s="1"/>
  <c r="F29" i="4"/>
  <c r="E26" i="4"/>
  <c r="F26" i="4" s="1"/>
  <c r="G26" i="4" s="1"/>
  <c r="H26" i="4" s="1"/>
  <c r="I26" i="4" s="1"/>
  <c r="J26" i="4" s="1"/>
  <c r="D26" i="4"/>
  <c r="C26" i="4"/>
  <c r="C27" i="4" s="1"/>
  <c r="C34" i="4" s="1"/>
  <c r="C50" i="4" s="1"/>
  <c r="E25" i="4"/>
  <c r="D25" i="4"/>
  <c r="D27" i="4" s="1"/>
  <c r="D34" i="4" s="1"/>
  <c r="C25" i="4"/>
  <c r="E16" i="4"/>
  <c r="D16" i="4"/>
  <c r="C16" i="4"/>
  <c r="F15" i="4"/>
  <c r="F30" i="2" s="1"/>
  <c r="E15" i="4"/>
  <c r="D15" i="4"/>
  <c r="E10" i="4"/>
  <c r="D10" i="4"/>
  <c r="C10" i="4"/>
  <c r="J9" i="4"/>
  <c r="I9" i="4"/>
  <c r="H9" i="4"/>
  <c r="G9" i="4"/>
  <c r="F9" i="4"/>
  <c r="F8" i="4"/>
  <c r="F6" i="4"/>
  <c r="A42" i="2"/>
  <c r="A41" i="2"/>
  <c r="A40" i="2"/>
  <c r="A39" i="2"/>
  <c r="E32" i="2"/>
  <c r="D32" i="2"/>
  <c r="C32" i="2"/>
  <c r="E31" i="2"/>
  <c r="D31" i="2"/>
  <c r="C31" i="2"/>
  <c r="E29" i="2"/>
  <c r="D29" i="2"/>
  <c r="C29" i="2"/>
  <c r="E26" i="2"/>
  <c r="D26" i="2"/>
  <c r="C26" i="2"/>
  <c r="E25" i="2"/>
  <c r="D25" i="2"/>
  <c r="C25" i="2"/>
  <c r="H24" i="2"/>
  <c r="E24" i="2"/>
  <c r="D24" i="2"/>
  <c r="C24" i="2"/>
  <c r="H23" i="2"/>
  <c r="E23" i="2"/>
  <c r="D23" i="2"/>
  <c r="C23" i="2"/>
  <c r="H22" i="2"/>
  <c r="E22" i="2"/>
  <c r="D22" i="2"/>
  <c r="C22" i="2"/>
  <c r="H21" i="2"/>
  <c r="E21" i="2"/>
  <c r="D21" i="2"/>
  <c r="C21" i="2"/>
  <c r="C15" i="2"/>
  <c r="C12" i="2"/>
  <c r="C10" i="1"/>
  <c r="F37" i="7" l="1"/>
  <c r="G37" i="7"/>
  <c r="H37" i="7"/>
  <c r="I37" i="7"/>
  <c r="J37" i="7"/>
  <c r="B62" i="7"/>
  <c r="B63" i="7"/>
  <c r="B64" i="7"/>
  <c r="B65" i="7"/>
  <c r="B66" i="7"/>
  <c r="C14" i="2"/>
  <c r="A43" i="2"/>
  <c r="F40" i="4"/>
  <c r="F8" i="6"/>
  <c r="F9" i="6" s="1"/>
  <c r="F25" i="4" s="1"/>
  <c r="F18" i="6"/>
  <c r="F32" i="7"/>
  <c r="F24" i="4"/>
  <c r="A2" i="2"/>
  <c r="F45" i="4"/>
  <c r="E48" i="4"/>
  <c r="F41" i="4"/>
  <c r="G41" i="4" s="1"/>
  <c r="H41" i="4" s="1"/>
  <c r="I41" i="4" s="1"/>
  <c r="J41" i="4" s="1"/>
  <c r="E42" i="4"/>
  <c r="G37" i="4"/>
  <c r="F13" i="6"/>
  <c r="F38" i="4"/>
  <c r="E38" i="4"/>
  <c r="E43" i="4" s="1"/>
  <c r="E49" i="4" s="1"/>
  <c r="E27" i="5"/>
  <c r="E33" i="4"/>
  <c r="F32" i="4"/>
  <c r="F10" i="6"/>
  <c r="E27" i="4"/>
  <c r="E6" i="5"/>
  <c r="E30" i="2"/>
  <c r="D6" i="5"/>
  <c r="D30" i="2"/>
  <c r="E17" i="4"/>
  <c r="E10" i="5" s="1"/>
  <c r="E12" i="4"/>
  <c r="D17" i="4"/>
  <c r="D10" i="5" s="1"/>
  <c r="D12" i="4"/>
  <c r="C17" i="4"/>
  <c r="C10" i="5" s="1"/>
  <c r="C12" i="4"/>
  <c r="C33" i="2" s="1"/>
  <c r="F7" i="4"/>
  <c r="G6" i="4"/>
  <c r="F29" i="2"/>
  <c r="D43" i="4"/>
  <c r="D49" i="4" s="1"/>
  <c r="D50" i="4" s="1"/>
  <c r="F42" i="4" l="1"/>
  <c r="F43" i="4" s="1"/>
  <c r="G40" i="4"/>
  <c r="F27" i="4"/>
  <c r="G45" i="4"/>
  <c r="H37" i="4"/>
  <c r="G32" i="4"/>
  <c r="F12" i="6"/>
  <c r="F33" i="7" s="1"/>
  <c r="E6" i="6"/>
  <c r="E33" i="2"/>
  <c r="D6" i="6"/>
  <c r="D33" i="2"/>
  <c r="F10" i="4"/>
  <c r="F16" i="4"/>
  <c r="F32" i="2" s="1"/>
  <c r="F31" i="2"/>
  <c r="F28" i="7"/>
  <c r="G16" i="6"/>
  <c r="H6" i="4"/>
  <c r="G7" i="4"/>
  <c r="G15" i="4"/>
  <c r="G30" i="2" s="1"/>
  <c r="G36" i="4"/>
  <c r="G29" i="4"/>
  <c r="G30" i="4"/>
  <c r="G11" i="6" s="1"/>
  <c r="G7" i="6"/>
  <c r="G17" i="6"/>
  <c r="G26" i="7"/>
  <c r="G29" i="2"/>
  <c r="E34" i="4"/>
  <c r="E50" i="4" s="1"/>
  <c r="G42" i="4" l="1"/>
  <c r="H40" i="4"/>
  <c r="H45" i="4"/>
  <c r="I37" i="4"/>
  <c r="H32" i="4"/>
  <c r="G12" i="6"/>
  <c r="E33" i="6"/>
  <c r="E18" i="5" s="1"/>
  <c r="E11" i="5"/>
  <c r="D33" i="6"/>
  <c r="D18" i="5" s="1"/>
  <c r="D11" i="5"/>
  <c r="F11" i="4"/>
  <c r="F17" i="4" s="1"/>
  <c r="F12" i="4"/>
  <c r="F29" i="7"/>
  <c r="F30" i="7"/>
  <c r="F34" i="7" s="1"/>
  <c r="F27" i="7"/>
  <c r="G18" i="6"/>
  <c r="G32" i="7"/>
  <c r="H16" i="6"/>
  <c r="I6" i="4"/>
  <c r="H7" i="4"/>
  <c r="H15" i="4"/>
  <c r="H30" i="2" s="1"/>
  <c r="H29" i="4"/>
  <c r="H30" i="4"/>
  <c r="H11" i="6" s="1"/>
  <c r="H36" i="4"/>
  <c r="H7" i="6"/>
  <c r="H17" i="6"/>
  <c r="H26" i="7"/>
  <c r="H29" i="2"/>
  <c r="G16" i="4"/>
  <c r="G32" i="2" s="1"/>
  <c r="G31" i="2"/>
  <c r="G28" i="7"/>
  <c r="G38" i="4"/>
  <c r="G43" i="4" s="1"/>
  <c r="G13" i="6"/>
  <c r="G10" i="6"/>
  <c r="G33" i="7" s="1"/>
  <c r="G8" i="6"/>
  <c r="G24" i="4" s="1"/>
  <c r="G9" i="6"/>
  <c r="G25" i="4" s="1"/>
  <c r="G31" i="7"/>
  <c r="H42" i="4" l="1"/>
  <c r="I40" i="4"/>
  <c r="I45" i="4"/>
  <c r="J37" i="4"/>
  <c r="I32" i="4"/>
  <c r="H12" i="6"/>
  <c r="F33" i="2"/>
  <c r="F6" i="6"/>
  <c r="F38" i="7"/>
  <c r="F34" i="2"/>
  <c r="H32" i="7"/>
  <c r="H18" i="6"/>
  <c r="I16" i="6"/>
  <c r="J6" i="4"/>
  <c r="I7" i="4"/>
  <c r="I15" i="4"/>
  <c r="I30" i="2" s="1"/>
  <c r="I30" i="4"/>
  <c r="I11" i="6" s="1"/>
  <c r="I36" i="4"/>
  <c r="I29" i="4"/>
  <c r="I7" i="6"/>
  <c r="I17" i="6"/>
  <c r="I26" i="7"/>
  <c r="I29" i="2"/>
  <c r="H16" i="4"/>
  <c r="H32" i="2" s="1"/>
  <c r="H28" i="7"/>
  <c r="H31" i="2"/>
  <c r="H10" i="6"/>
  <c r="H13" i="6"/>
  <c r="H38" i="4"/>
  <c r="H43" i="4" s="1"/>
  <c r="H8" i="6"/>
  <c r="H31" i="7"/>
  <c r="G29" i="7"/>
  <c r="G30" i="7"/>
  <c r="G34" i="7" s="1"/>
  <c r="G27" i="7"/>
  <c r="G27" i="4"/>
  <c r="J40" i="4" l="1"/>
  <c r="I42" i="4"/>
  <c r="J45" i="4"/>
  <c r="J32" i="4"/>
  <c r="J12" i="6" s="1"/>
  <c r="I12" i="6"/>
  <c r="F14" i="6"/>
  <c r="F32" i="6"/>
  <c r="F33" i="6"/>
  <c r="I32" i="7"/>
  <c r="I18" i="6"/>
  <c r="J7" i="4"/>
  <c r="J15" i="4"/>
  <c r="J30" i="2" s="1"/>
  <c r="J29" i="4"/>
  <c r="J30" i="4"/>
  <c r="J11" i="6" s="1"/>
  <c r="J36" i="4"/>
  <c r="J7" i="6"/>
  <c r="J16" i="6"/>
  <c r="J17" i="6"/>
  <c r="J26" i="7"/>
  <c r="J29" i="2"/>
  <c r="I16" i="4"/>
  <c r="I32" i="2" s="1"/>
  <c r="I31" i="2"/>
  <c r="I28" i="7"/>
  <c r="I38" i="4"/>
  <c r="I43" i="4" s="1"/>
  <c r="I13" i="6"/>
  <c r="I10" i="6"/>
  <c r="I33" i="7" s="1"/>
  <c r="I8" i="6"/>
  <c r="I9" i="6" s="1"/>
  <c r="I25" i="4" s="1"/>
  <c r="I31" i="7"/>
  <c r="H29" i="7"/>
  <c r="H30" i="7" s="1"/>
  <c r="H34" i="7" s="1"/>
  <c r="H27" i="7"/>
  <c r="G35" i="7"/>
  <c r="G38" i="7"/>
  <c r="G34" i="2"/>
  <c r="H33" i="7"/>
  <c r="H9" i="6"/>
  <c r="H25" i="4" s="1"/>
  <c r="H24" i="4"/>
  <c r="J42" i="4" l="1"/>
  <c r="F27" i="6"/>
  <c r="F29" i="6" s="1"/>
  <c r="F31" i="4" s="1"/>
  <c r="F34" i="6"/>
  <c r="F24" i="6"/>
  <c r="F47" i="4" s="1"/>
  <c r="F22" i="6"/>
  <c r="J16" i="4"/>
  <c r="J32" i="2" s="1"/>
  <c r="J28" i="7"/>
  <c r="J31" i="2"/>
  <c r="J10" i="6"/>
  <c r="J38" i="4"/>
  <c r="J43" i="4" s="1"/>
  <c r="J13" i="6"/>
  <c r="J8" i="6"/>
  <c r="J9" i="6" s="1"/>
  <c r="J25" i="4" s="1"/>
  <c r="J31" i="7"/>
  <c r="J32" i="7"/>
  <c r="J18" i="6"/>
  <c r="I29" i="7"/>
  <c r="I30" i="7"/>
  <c r="I34" i="7" s="1"/>
  <c r="I27" i="7"/>
  <c r="H35" i="7"/>
  <c r="H38" i="7"/>
  <c r="H34" i="2"/>
  <c r="H27" i="4"/>
  <c r="I24" i="4"/>
  <c r="F35" i="6" l="1"/>
  <c r="F36" i="6" s="1"/>
  <c r="F35" i="2" s="1"/>
  <c r="G8" i="4"/>
  <c r="F33" i="4"/>
  <c r="F34" i="4" s="1"/>
  <c r="G28" i="6"/>
  <c r="J29" i="7"/>
  <c r="J30" i="7"/>
  <c r="J27" i="7"/>
  <c r="I35" i="7"/>
  <c r="I38" i="7"/>
  <c r="I34" i="2"/>
  <c r="J24" i="4"/>
  <c r="J27" i="4" s="1"/>
  <c r="I27" i="4"/>
  <c r="J33" i="7"/>
  <c r="F25" i="6"/>
  <c r="F46" i="4"/>
  <c r="G10" i="4" l="1"/>
  <c r="F48" i="4"/>
  <c r="F49" i="4" s="1"/>
  <c r="F50" i="4" s="1"/>
  <c r="J34" i="7"/>
  <c r="G11" i="4" l="1"/>
  <c r="J34" i="2"/>
  <c r="C42" i="7"/>
  <c r="C43" i="7" s="1"/>
  <c r="J38" i="7"/>
  <c r="C41" i="7" s="1"/>
  <c r="J35" i="7"/>
  <c r="F64" i="7"/>
  <c r="F62" i="7"/>
  <c r="G65" i="7"/>
  <c r="C62" i="7"/>
  <c r="D65" i="7"/>
  <c r="D63" i="7"/>
  <c r="F63" i="7"/>
  <c r="E62" i="7"/>
  <c r="F66" i="7"/>
  <c r="C63" i="7"/>
  <c r="G63" i="7"/>
  <c r="E66" i="7"/>
  <c r="F65" i="7"/>
  <c r="G62" i="7"/>
  <c r="D62" i="7"/>
  <c r="E63" i="7"/>
  <c r="D64" i="7"/>
  <c r="C65" i="7"/>
  <c r="C64" i="7"/>
  <c r="C66" i="7"/>
  <c r="G64" i="7"/>
  <c r="G66" i="7"/>
  <c r="E64" i="7"/>
  <c r="D66" i="7"/>
  <c r="E65" i="7"/>
  <c r="C44" i="7" l="1"/>
  <c r="C47" i="7"/>
  <c r="C16" i="2" s="1"/>
  <c r="G17" i="4"/>
  <c r="G12" i="4"/>
  <c r="C45" i="7" l="1"/>
  <c r="C46" i="7"/>
  <c r="A6" i="2" s="1"/>
  <c r="G33" i="2"/>
  <c r="G6" i="6"/>
  <c r="C53" i="7" l="1"/>
  <c r="C9" i="2"/>
  <c r="G14" i="6"/>
  <c r="G32" i="6"/>
  <c r="G33" i="6" s="1"/>
  <c r="C10" i="2" l="1"/>
  <c r="C55" i="7"/>
  <c r="G34" i="6"/>
  <c r="G47" i="4"/>
  <c r="G24" i="6"/>
  <c r="G46" i="4"/>
  <c r="G22" i="6"/>
  <c r="A5" i="2" l="1"/>
  <c r="C57" i="7"/>
  <c r="C13" i="2" s="1"/>
  <c r="C11" i="2"/>
  <c r="G48" i="4"/>
  <c r="G49" i="4" s="1"/>
  <c r="G25" i="6"/>
  <c r="G27" i="6" s="1"/>
  <c r="G29" i="6" s="1"/>
  <c r="G31" i="4" s="1"/>
  <c r="H28" i="6" l="1"/>
  <c r="H8" i="4"/>
  <c r="G35" i="6"/>
  <c r="G36" i="6" s="1"/>
  <c r="G35" i="2" s="1"/>
  <c r="G33" i="4"/>
  <c r="G34" i="4" s="1"/>
  <c r="G50" i="4" s="1"/>
  <c r="H10" i="4" l="1"/>
  <c r="H11" i="4" l="1"/>
  <c r="H17" i="4" l="1"/>
  <c r="H12" i="4"/>
  <c r="H6" i="6" l="1"/>
  <c r="H33" i="2"/>
  <c r="H14" i="6" l="1"/>
  <c r="H32" i="6"/>
  <c r="H33" i="6" s="1"/>
  <c r="H34" i="6" l="1"/>
  <c r="H24" i="6"/>
  <c r="H47" i="4" s="1"/>
  <c r="H22" i="6"/>
  <c r="H46" i="4" s="1"/>
  <c r="H48" i="4" l="1"/>
  <c r="H49" i="4" s="1"/>
  <c r="H25" i="6"/>
  <c r="H27" i="6" s="1"/>
  <c r="H29" i="6" s="1"/>
  <c r="H31" i="4" s="1"/>
  <c r="I28" i="6" l="1"/>
  <c r="H33" i="4"/>
  <c r="H34" i="4" s="1"/>
  <c r="H50" i="4" s="1"/>
  <c r="H35" i="6"/>
  <c r="H36" i="6" s="1"/>
  <c r="H35" i="2" s="1"/>
  <c r="I8" i="4"/>
  <c r="I10" i="4" l="1"/>
  <c r="I11" i="4" l="1"/>
  <c r="I17" i="4" l="1"/>
  <c r="I12" i="4"/>
  <c r="I6" i="6" l="1"/>
  <c r="I33" i="2"/>
  <c r="I14" i="6" l="1"/>
  <c r="I32" i="6"/>
  <c r="I33" i="6" s="1"/>
  <c r="I27" i="6" l="1"/>
  <c r="I29" i="6" s="1"/>
  <c r="I31" i="4" s="1"/>
  <c r="I34" i="6"/>
  <c r="I47" i="4"/>
  <c r="I24" i="6"/>
  <c r="I22" i="6"/>
  <c r="I33" i="4" l="1"/>
  <c r="I34" i="4" s="1"/>
  <c r="J8" i="4"/>
  <c r="I35" i="6"/>
  <c r="I36" i="6" s="1"/>
  <c r="I35" i="2" s="1"/>
  <c r="J28" i="6"/>
  <c r="I25" i="6"/>
  <c r="I46" i="4"/>
  <c r="J10" i="4" l="1"/>
  <c r="I48" i="4"/>
  <c r="I49" i="4" s="1"/>
  <c r="I50" i="4" s="1"/>
  <c r="J12" i="4" l="1"/>
  <c r="J11" i="4"/>
  <c r="J6" i="6" l="1"/>
  <c r="J33" i="2"/>
  <c r="J17" i="4"/>
  <c r="J14" i="6" l="1"/>
  <c r="J32" i="6"/>
  <c r="J33" i="6"/>
  <c r="J27" i="6" l="1"/>
  <c r="J29" i="6" s="1"/>
  <c r="J31" i="4" s="1"/>
  <c r="J34" i="6"/>
  <c r="J47" i="4"/>
  <c r="J24" i="6"/>
  <c r="J22" i="6"/>
  <c r="J33" i="4" l="1"/>
  <c r="J34" i="4" s="1"/>
  <c r="J35" i="6"/>
  <c r="J36" i="6" s="1"/>
  <c r="J35" i="2" s="1"/>
  <c r="J25" i="6"/>
  <c r="J46" i="4"/>
  <c r="J48" i="4" s="1"/>
  <c r="J49" i="4" s="1"/>
  <c r="J50" i="4" l="1"/>
  <c r="C33" i="1" l="1"/>
  <c r="C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500-000001000000}">
      <text>
        <r>
          <rPr>
            <sz val="10"/>
            <rFont val="Arial"/>
            <family val="2"/>
          </rPr>
          <t>FY24/FY25 values in this sheet are reported continuing-operations figures (Unilever Q4 &amp; FY25 results announcement, 12 Feb 2026; D&amp;A per UEBITDA reconciliation). Shown only to calibrate the forecast drivers.</t>
        </r>
      </text>
    </comment>
  </commentList>
</comments>
</file>

<file path=xl/sharedStrings.xml><?xml version="1.0" encoding="utf-8"?>
<sst xmlns="http://schemas.openxmlformats.org/spreadsheetml/2006/main" count="558" uniqueCount="318">
  <si>
    <t>Unilever PLC</t>
  </si>
  <si>
    <t>Integrated 3-Statement &amp; DCF Model</t>
  </si>
  <si>
    <t>EUR millions unless stated</t>
  </si>
  <si>
    <t>Version / date</t>
  </si>
  <si>
    <t>v1.1, built 30 October 2026. Market data: share price = delayed quote, late Oct 2026; 10-yr Bund yield = 21 Aug 2026.</t>
  </si>
  <si>
    <t>Prepared by</t>
  </si>
  <si>
    <t>Jhanvee Kamal Parikh</t>
  </si>
  <si>
    <t>Purpose</t>
  </si>
  <si>
    <t>Portfolio review and portfolio-of-work sample</t>
  </si>
  <si>
    <t>Active scenario</t>
  </si>
  <si>
    <t>CONTENTS</t>
  </si>
  <si>
    <t>Summary</t>
  </si>
  <si>
    <t>One-page executive summary: valuation, scenarios, financial summary, risks</t>
  </si>
  <si>
    <t>DATA_INPUT</t>
  </si>
  <si>
    <t>Historical FY23-FY25 statements (inputs) and FY26E-FY30E income statement and balance sheet</t>
  </si>
  <si>
    <t>ASSUMPTIONS</t>
  </si>
  <si>
    <t>All forecast drivers, scenario selector and Worst / Base / Best inputs</t>
  </si>
  <si>
    <t>CASH_FLOW</t>
  </si>
  <si>
    <t>Indirect cash flow statement, dividends, buybacks and net debt memo</t>
  </si>
  <si>
    <t>DCF</t>
  </si>
  <si>
    <t>WACC, free cash flow to firm, valuation bridge, sensitivity grid, scenario comparison</t>
  </si>
  <si>
    <t>HOW TO USE</t>
  </si>
  <si>
    <t>1.  Pick the case in ASSUMPTIONS!C4 (yellow cell). Everything flows through the three statements and the valuation.</t>
  </si>
  <si>
    <t>2.  Change inputs only in blue cells. Black cells are formulas and green cells link to other sheets.</t>
  </si>
  <si>
    <t>3.  Refresh the share price, Bund yield and beta on the DCF sheet before relying on the output.</t>
  </si>
  <si>
    <t>4.  Confirm both integrity checks below read OK after any change.</t>
  </si>
  <si>
    <t>COLOUR CODE</t>
  </si>
  <si>
    <t>Blue text</t>
  </si>
  <si>
    <t>Hard-coded input or assumption</t>
  </si>
  <si>
    <t>Black text</t>
  </si>
  <si>
    <t>Formula / calculation</t>
  </si>
  <si>
    <t>Green text</t>
  </si>
  <si>
    <t>Link to another sheet</t>
  </si>
  <si>
    <t>Yellow cell</t>
  </si>
  <si>
    <t>Scenario selector (ASSUMPTIONS!C4)</t>
  </si>
  <si>
    <t>MODEL INTEGRITY (live)</t>
  </si>
  <si>
    <t>Balance sheet</t>
  </si>
  <si>
    <t>Formula errors</t>
  </si>
  <si>
    <t>SOURCES</t>
  </si>
  <si>
    <t>Unilever Q4 and Full Year 2025 results announcement (12 Feb 2026): historical statements</t>
  </si>
  <si>
    <t>Unilever 2026 First Half Results (Jul 2026): current trading and outlook</t>
  </si>
  <si>
    <t>Euronext Amsterdam delayed quote (UNA.NV), 10-yr German Bund yield, TradingView beta: market inputs</t>
  </si>
  <si>
    <t>Illustrative analysis only; not investment advice.</t>
  </si>
  <si>
    <t>Unilever PLC - Executive Summary</t>
  </si>
  <si>
    <t>VALUATION SNAPSHOT (live, active scenario)</t>
  </si>
  <si>
    <t>Enterprise value</t>
  </si>
  <si>
    <t>Equity value</t>
  </si>
  <si>
    <t>Implied value per share (EUR)</t>
  </si>
  <si>
    <t>Current share price (EUR)</t>
  </si>
  <si>
    <t>Upside / (downside)</t>
  </si>
  <si>
    <t>WACC</t>
  </si>
  <si>
    <t>Terminal growth</t>
  </si>
  <si>
    <t>Implied terminal EV / EBITDA</t>
  </si>
  <si>
    <t>Current market EV / FY25 EBITDA</t>
  </si>
  <si>
    <t>SCENARIO COMPARISON (static snapshot from DCF sheet)</t>
  </si>
  <si>
    <t>Worst</t>
  </si>
  <si>
    <t>Base</t>
  </si>
  <si>
    <t>Best</t>
  </si>
  <si>
    <t>Chart data</t>
  </si>
  <si>
    <t>FY30E turnover</t>
  </si>
  <si>
    <t>FY30E EBIT margin</t>
  </si>
  <si>
    <t>FY30E FCFF</t>
  </si>
  <si>
    <t>Price</t>
  </si>
  <si>
    <t>FINANCIAL SUMMARY (live, active scenario)</t>
  </si>
  <si>
    <t>FY23</t>
  </si>
  <si>
    <t>FY24</t>
  </si>
  <si>
    <t>FY25</t>
  </si>
  <si>
    <t>FY26E</t>
  </si>
  <si>
    <t>FY27E</t>
  </si>
  <si>
    <t>FY28E</t>
  </si>
  <si>
    <t>FY29E</t>
  </si>
  <si>
    <t>FY30E</t>
  </si>
  <si>
    <t>Turnover</t>
  </si>
  <si>
    <t xml:space="preserve">  growth</t>
  </si>
  <si>
    <t>-</t>
  </si>
  <si>
    <t>EBIT (operating profit)</t>
  </si>
  <si>
    <t xml:space="preserve">  EBIT margin</t>
  </si>
  <si>
    <t>Net profit (continuing)</t>
  </si>
  <si>
    <t>Free cash flow to firm</t>
  </si>
  <si>
    <t>Net debt / EBITDA (x)</t>
  </si>
  <si>
    <t>FY23-FY25 are reported; FY26E-FY30E are projections. Net debt = financial liabilities less cash.</t>
  </si>
  <si>
    <t>KEY ASSUMPTIONS (active scenario)</t>
  </si>
  <si>
    <t>KEY RISKS AND CAVEATS</t>
  </si>
  <si>
    <t>-  Valuation is dominated by terminal value and is highly sensitive to WACC (see DCF sensitivity grid).</t>
  </si>
  <si>
    <t>-  FY23 and FY24 balance sheets include Ice Cream while the income statement excludes it; forecasts are anchored on FY25 only.</t>
  </si>
  <si>
    <t>-  A possible Foods separation (reported, unverified) is not modelled.</t>
  </si>
  <si>
    <t>-  Receivables and payables in FY25 include temporary transition-service gross-ups with the Ice Cream demerger.</t>
  </si>
  <si>
    <t>-  Share price, risk-free rate and beta are point-in-time inputs and should be refreshed.</t>
  </si>
  <si>
    <t>WHAT WOULD CHANGE THE VIEW</t>
  </si>
  <si>
    <t>-  Reported margin stalling near 17-18% (Worst case) vs converging toward underlying ~20%+ (Best case).</t>
  </si>
  <si>
    <t>-  Currency turning from a headwind to neutral, lifting reported growth toward the 4-6% guidance.</t>
  </si>
  <si>
    <t>-  Portfolio changes (Foods separation, further disposals) altering the group cash flow base.</t>
  </si>
  <si>
    <t>UNILEVER PLC</t>
  </si>
  <si>
    <t>Integrated 3-Statement Financial Model</t>
  </si>
  <si>
    <t>Currency: EUR (€) in Millions</t>
  </si>
  <si>
    <t>CONSOLIDATED INCOME STATEMENT</t>
  </si>
  <si>
    <t>Units</t>
  </si>
  <si>
    <t>Turnover (Revenue)</t>
  </si>
  <si>
    <t>€ Millions</t>
  </si>
  <si>
    <t>Operating Profit (EBIT)</t>
  </si>
  <si>
    <t>Net Finance Cost</t>
  </si>
  <si>
    <t>Other Non-Operating Items (NET)</t>
  </si>
  <si>
    <t>Profit Before Taxation</t>
  </si>
  <si>
    <t>Taxation</t>
  </si>
  <si>
    <t>Net Profit from Continuing Operations</t>
  </si>
  <si>
    <t>Historical Ratio Analysis</t>
  </si>
  <si>
    <t>Revenue Growth Rate</t>
  </si>
  <si>
    <t>%</t>
  </si>
  <si>
    <t>Operating Profit Margin</t>
  </si>
  <si>
    <t>Effective Tax Rate</t>
  </si>
  <si>
    <t>CONSOLIDATED BALANCE SHEET</t>
  </si>
  <si>
    <t>Non-Current Assets</t>
  </si>
  <si>
    <t>PP&amp;E</t>
  </si>
  <si>
    <t>Goodwill &amp; Intangibles</t>
  </si>
  <si>
    <t>Other Non-Current Assets</t>
  </si>
  <si>
    <t>Total Non-Current Assets</t>
  </si>
  <si>
    <t>Current Asset</t>
  </si>
  <si>
    <t>Inventories</t>
  </si>
  <si>
    <t>Trade &amp; Other Receivables</t>
  </si>
  <si>
    <t>Cash &amp; Cash Equivalents</t>
  </si>
  <si>
    <t>Other Current Asset</t>
  </si>
  <si>
    <t>Total Current Assets</t>
  </si>
  <si>
    <t>Total Assets</t>
  </si>
  <si>
    <t>Current Liabilities</t>
  </si>
  <si>
    <t>Trade Payables and Other Liabilities</t>
  </si>
  <si>
    <t>Short-Term Financial Liabilities</t>
  </si>
  <si>
    <t>Total Current Liability</t>
  </si>
  <si>
    <t>Non-Current Liabilities</t>
  </si>
  <si>
    <t>Long-Term Financial Liabilities</t>
  </si>
  <si>
    <t>Other Non-Current Liabilities</t>
  </si>
  <si>
    <t>Total Non-Current Liability</t>
  </si>
  <si>
    <t>Total Liability</t>
  </si>
  <si>
    <t>Shareholders' Equity</t>
  </si>
  <si>
    <t>Called-up Share Capital &amp; Premium</t>
  </si>
  <si>
    <t>Retained Earnings</t>
  </si>
  <si>
    <t>Non-Controlling Interests</t>
  </si>
  <si>
    <t>Total Shareholder's Equity</t>
  </si>
  <si>
    <t>TOTAL LIABILITIES &amp; EQUITY</t>
  </si>
  <si>
    <t>Check: BS Balances</t>
  </si>
  <si>
    <t>NOTES &amp; SOURCES</t>
  </si>
  <si>
    <t>FY24/FY25 balance sheet inputs: Unilever Q4 &amp; Full Year 2025 results announcement (12 Feb 2026), consolidated balance sheet and statement of changes in equity (pp.22-23).</t>
  </si>
  <si>
    <t>Line mapping follows the FY23 build already in this sheet: Other NCA = pension surplus + deferred tax assets + financial assets + other; Other current assets = current tax + other financial assets + assets held for sale;</t>
  </si>
  <si>
    <t xml:space="preserve">   Trade payables &amp; other = trade payables/other current liabs + current tax + provisions + liabilities held for sale; Other NCL = non-current tax + pensions + provisions + deferred tax + other;</t>
  </si>
  <si>
    <t xml:space="preserve">   Capital &amp; premium = share capital + share premium + unification reserve; Retained earnings = retained profit + other reserves; NCI shown separately.</t>
  </si>
  <si>
    <t>Basis warning: income statement is on a continuing basis (ex Ice Cream) for all years, but the FY23 and FY24 balance sheets are as originally reported and still include Ice Cream. FY25 is post-demerger.</t>
  </si>
  <si>
    <t xml:space="preserve">   Do not compare FY24 -&gt; FY25 balance sheet movements or use FY23/FY24 balance-sheet-to-turnover ratios; forecasts are anchored on FY25 only.</t>
  </si>
  <si>
    <t>Ratio block (rows 14-17): labels were one row below their formulas in v1.0 and have been re-aligned; no formulas were changed. Forecast columns F:J show the ratios implied by the projections.</t>
  </si>
  <si>
    <t>Forecast columns (F:J) are formulas driven by the ASSUMPTIONS and CASH_FLOW sheets. Blue = hard-coded input, black = formula, green = link to another sheet.</t>
  </si>
  <si>
    <t>Forecast Assumptions &amp; Drivers (FY26E-FY30E)</t>
  </si>
  <si>
    <t>Currency: EUR (€) in Millions unless stated</t>
  </si>
  <si>
    <t>ACTIVE SCENARIO  (1 = Worst, 2 = Base, 3 = Best)</t>
  </si>
  <si>
    <t>INCOME STATEMENT DRIVERS</t>
  </si>
  <si>
    <t>Basis / source</t>
  </si>
  <si>
    <t>Revenue growth</t>
  </si>
  <si>
    <t>Scenario-driven: FY26E: H1-26 turnover +0.5% (USG 4.8%, FX -4.9%); FY guide USG 4-6% less FX/disposals. FY27E+: analyst view, below 4-6% multi-year USG guide after FX drag.</t>
  </si>
  <si>
    <t>Operating profit (EBIT) margin - reported</t>
  </si>
  <si>
    <t>Scenario-driven: FY25 17.9% reported (20.0% underlying). H1-26 reported 19.1% (+40bps); guide: modest underlying improvement. Gradual drift as non-underlying costs fade.</t>
  </si>
  <si>
    <t>Net finance cost % of opening net financial debt</t>
  </si>
  <si>
    <t>Calibrated to FY24-25 reported net finance cost (incl. pension income) over opening net financial liabilities. Opening balance used to avoid circularity.</t>
  </si>
  <si>
    <t>Other non-operating items (net)</t>
  </si>
  <si>
    <t>€m</t>
  </si>
  <si>
    <t>JV/associate profit (~€245m FY25) less hyperinflation loss and other; FY23-25 range 37-159. Analyst estimate.</t>
  </si>
  <si>
    <t>Effective tax rate</t>
  </si>
  <si>
    <t>Scenario-driven: Guidance: underlying ETR ~26%; reported ETR was 28.7% FY24 / 29.4% FY25 (disposal-related). Converges to 26%.</t>
  </si>
  <si>
    <t>NCI share of net profit</t>
  </si>
  <si>
    <t>FY25: NCI €531m on €6,213m continuing net profit (8.5%). Held flat.</t>
  </si>
  <si>
    <t>CASH FLOW &amp; CAPITAL ALLOCATION DRIVERS</t>
  </si>
  <si>
    <t>D&amp;A % of turnover</t>
  </si>
  <si>
    <t>FY25 D&amp;A €1,310m (2.6% of turnover), per UEBITDA reconciliation.</t>
  </si>
  <si>
    <t>Share of D&amp;A relating to PP&amp;E (rest = intangibles amortisation)</t>
  </si>
  <si>
    <t>ANALYST ESTIMATE - Unilever does not disclose the split in the results announcement. Affects PP&amp;E vs intangibles balances only, not cash flow.</t>
  </si>
  <si>
    <t>Capex - PP&amp;E % of turnover</t>
  </si>
  <si>
    <t>Scenario-driven: FY25: €1,417m = 2.8% of turnover.</t>
  </si>
  <si>
    <t>Capex - intangibles % of turnover</t>
  </si>
  <si>
    <t>FY25: €174m = 0.34% of turnover.</t>
  </si>
  <si>
    <t>Dividend payout (% of profit attributable to shareholders)</t>
  </si>
  <si>
    <t>FY25 cash dividends €4,453m / €5,682m = 78%.</t>
  </si>
  <si>
    <t>Share buybacks</t>
  </si>
  <si>
    <t>New €1.5bn programme announced Feb-26 (from Q2-26). FY27E+ assumes the same run-rate - analyst assumption.</t>
  </si>
  <si>
    <t>Dividends to NCI (% of NCI profit)</t>
  </si>
  <si>
    <t>FY25 €728m vs NCI profit €531m. Assumed 100% pay-out so NCI balance stays flat.</t>
  </si>
  <si>
    <t>Net debt issuance / (repayment)</t>
  </si>
  <si>
    <t>Gross debt held flat (maturities refinanced). Positive = new borrowing (added to long-term financial liabilities); cash is the balancing item.</t>
  </si>
  <si>
    <t>BALANCE SHEET DRIVERS</t>
  </si>
  <si>
    <t>Inventories % of turnover</t>
  </si>
  <si>
    <t>n.m.</t>
  </si>
  <si>
    <t>Scenario-driven: FY25 only: FY23/FY24 balance sheets include Ice Cream while turnover excludes it, so earlier ratios are not comparable.</t>
  </si>
  <si>
    <t>Trade &amp; other receivables % of turnover</t>
  </si>
  <si>
    <t>Scenario-driven: FY25 includes TSA gross-up with The Magnum Ice Cream Co. (max 2 years) - receivables and payables both inflated; held at FY25 ratios so net effect is small.</t>
  </si>
  <si>
    <t>Other current assets - annual growth</t>
  </si>
  <si>
    <t>Held flat.</t>
  </si>
  <si>
    <t>Trade payables &amp; other current liabilities % of turnover</t>
  </si>
  <si>
    <t>FY25: €19,080m (see TSA note above).</t>
  </si>
  <si>
    <t>Other non-current assets - annual growth</t>
  </si>
  <si>
    <t>Held flat (pension surplus, deferred tax, financial assets incl. retained TMICC stake).</t>
  </si>
  <si>
    <t>Other non-current liabilities - annual growth</t>
  </si>
  <si>
    <t>Colour code: blue = hard-coded input / assumption, black = formula, green = link to another sheet. All forecast inputs are in columns F:J and can be overwritten.</t>
  </si>
  <si>
    <t>SCENARIO INPUTS (live rows above pick the case chosen in C4)</t>
  </si>
  <si>
    <t>Basis</t>
  </si>
  <si>
    <t>Worst: below guidance (FX drag persists, disposals). Base: as before. Best: mid-point of 4-6% USG guidance, FX neutral. Judgement, not consensus.</t>
  </si>
  <si>
    <t xml:space="preserve">   Worst</t>
  </si>
  <si>
    <t xml:space="preserve">   Base</t>
  </si>
  <si>
    <t xml:space="preserve">   Best</t>
  </si>
  <si>
    <t>EBIT margin (reported)</t>
  </si>
  <si>
    <t>Worst: no improvement on FY23-25 reported range. Base: gradual convergence. Best: reported margin approaches/exceeds underlying (20.0% FY25).</t>
  </si>
  <si>
    <t>Worst: reported ETR stays near FY24-25 (28-29%). Best: underlying guidance of ~26% and slightly below.</t>
  </si>
  <si>
    <t>Worst: higher reinvestment need. Best: leaner capex.</t>
  </si>
  <si>
    <t>Worst: slower stock turn. Best: tighter inventory.</t>
  </si>
  <si>
    <t>Receivables % of turnover</t>
  </si>
  <si>
    <t>Worst: slower collection. Best: tighter credit terms.</t>
  </si>
  <si>
    <t>Cash Flow Statement (indirect) &amp; Memo Items</t>
  </si>
  <si>
    <t>CASH FLOW STATEMENT</t>
  </si>
  <si>
    <t>Net profit from continuing operations</t>
  </si>
  <si>
    <t>Depreciation &amp; amortisation</t>
  </si>
  <si>
    <t xml:space="preserve">   o/w depreciation of PP&amp;E</t>
  </si>
  <si>
    <t xml:space="preserve">   o/w amortisation of goodwill &amp; intangibles</t>
  </si>
  <si>
    <t>(Increase)/decrease in inventories</t>
  </si>
  <si>
    <t>(Increase)/decrease in trade &amp; other receivables</t>
  </si>
  <si>
    <t>(Increase)/decrease in other current assets</t>
  </si>
  <si>
    <t>Increase/(decrease) in trade payables &amp; other current liabilities</t>
  </si>
  <si>
    <t>Cash flow from operating activities</t>
  </si>
  <si>
    <t>Capital expenditure - PP&amp;E</t>
  </si>
  <si>
    <t>Capital expenditure - intangibles</t>
  </si>
  <si>
    <t>Cash flow from investing activities</t>
  </si>
  <si>
    <t>Financing activities</t>
  </si>
  <si>
    <t>Dividends paid to shareholders</t>
  </si>
  <si>
    <t>Dividends paid to non-controlling interests</t>
  </si>
  <si>
    <t>Cash flow from financing activities</t>
  </si>
  <si>
    <t>Net change in cash</t>
  </si>
  <si>
    <t>Opening cash &amp; cash equivalents</t>
  </si>
  <si>
    <t>Closing cash &amp; cash equivalents</t>
  </si>
  <si>
    <t>MEMO</t>
  </si>
  <si>
    <t>Net profit attributable to non-controlling interests</t>
  </si>
  <si>
    <t>Net profit attributable to shareholders</t>
  </si>
  <si>
    <t>Free cash flow (operating + investing)</t>
  </si>
  <si>
    <t>Closing net financial debt (financial liabilities less cash)</t>
  </si>
  <si>
    <t>Net debt / EBITDA</t>
  </si>
  <si>
    <t>x</t>
  </si>
  <si>
    <t>FY24/FY25 columns hold reported figures (blue) for calibration only; forecast columns are formulas. Closing cash feeds DATA_INPUT row 31.</t>
  </si>
  <si>
    <t>Net debt here = financial liabilities less cash only (Unilever reports €23,076m at FY25 after also deducting other current financial assets and derivatives).</t>
  </si>
  <si>
    <t>Discounted Cash Flow Valuation (FCFF)</t>
  </si>
  <si>
    <t>Active scenario:</t>
  </si>
  <si>
    <t>VALUATION INPUTS</t>
  </si>
  <si>
    <t>Input</t>
  </si>
  <si>
    <t>Source / note</t>
  </si>
  <si>
    <t>Valuation date (= balance sheet date)</t>
  </si>
  <si>
    <t>Cash flows are discounted to the FY25 balance sheet date, matching the net debt used in the bridge. Not rolled forward to today.</t>
  </si>
  <si>
    <t>Current share price (€)</t>
  </si>
  <si>
    <t>Euronext Amsterdam (UNA.NV), delayed quote, retrieved late Oct-2026 - refresh before use.</t>
  </si>
  <si>
    <t>Shares outstanding (m)</t>
  </si>
  <si>
    <t>31-Dec-2025, net of treasury shares (FY25 results, note 5). Excludes further buybacks.</t>
  </si>
  <si>
    <t>Risk-free rate</t>
  </si>
  <si>
    <t>German 10-yr Bund ~3.27% (21-Aug-2026); euro risk-free proxy - refresh before use.</t>
  </si>
  <si>
    <t>Equity risk premium</t>
  </si>
  <si>
    <t>Analyst assumption (typical range 5-6%).</t>
  </si>
  <si>
    <t>Equity beta</t>
  </si>
  <si>
    <t>Analyst assumption. Raw observed beta is only c.0.36 (TradingView); 0.80 is deliberately conservative so the implied terminal multiple (row 47) sits near the current market multiple (row 58). At 0.70 value is ~EUR 76/share.</t>
  </si>
  <si>
    <t>Cost of equity</t>
  </si>
  <si>
    <t>CAPM: Rf + beta x ERP</t>
  </si>
  <si>
    <t>Pre-tax cost of debt</t>
  </si>
  <si>
    <t>2025 issuance: 2.75%-3.5% fixed-rate euro notes (FY25 results, finance &amp; liquidity).</t>
  </si>
  <si>
    <t>Tax rate (debt shield)</t>
  </si>
  <si>
    <t>Terminal-year effective tax rate.</t>
  </si>
  <si>
    <t>After-tax cost of debt</t>
  </si>
  <si>
    <t>Market capitalisation (€m)</t>
  </si>
  <si>
    <t>Gross financial liabilities (€m)</t>
  </si>
  <si>
    <t>FY25 balance sheet: current + non-current financial liabilities (incl. leases).</t>
  </si>
  <si>
    <t>Debt weight D/(D+E)</t>
  </si>
  <si>
    <t>Market-value weights.</t>
  </si>
  <si>
    <t>Terminal growth rate</t>
  </si>
  <si>
    <t>Analyst assumption ~ long-run euro-area inflation.</t>
  </si>
  <si>
    <t>Mid-year discounting (1 = on, 0 = off)</t>
  </si>
  <si>
    <t>Terminal value is discounted with the same final-year factor as the last cash flow when mid-year is on.</t>
  </si>
  <si>
    <t>Other current financial assets (€m)</t>
  </si>
  <si>
    <t>FY25 balance sheet (note 8) - treasury investments, treated as cash-like. Included in Other Current Assets on DATA_INPUT.</t>
  </si>
  <si>
    <t>Retained 19.85% stake in TMICC at fair value (€m)</t>
  </si>
  <si>
    <t>FY25 results note 8(d): €1,655m. Non-operating asset; intended to be sold down.</t>
  </si>
  <si>
    <t>FREE CASH FLOW TO FIRM</t>
  </si>
  <si>
    <t>EBITDA</t>
  </si>
  <si>
    <t>Less: tax on EBIT</t>
  </si>
  <si>
    <t>NOPAT</t>
  </si>
  <si>
    <t>Plus: depreciation &amp; amortisation</t>
  </si>
  <si>
    <t>Less: capital expenditure</t>
  </si>
  <si>
    <t>(Increase) / decrease in net working capital</t>
  </si>
  <si>
    <t>Free cash flow to firm (FCFF)</t>
  </si>
  <si>
    <t>FCFF growth</t>
  </si>
  <si>
    <t>Discount period (years)</t>
  </si>
  <si>
    <t>yrs</t>
  </si>
  <si>
    <t>Discount factor</t>
  </si>
  <si>
    <t>Present value of FCFF</t>
  </si>
  <si>
    <t>VALUATION</t>
  </si>
  <si>
    <t>Sum of PV of FCFF (FY26E-FY30E)</t>
  </si>
  <si>
    <t>Terminal-year FCFF (FY30E x (1+g))</t>
  </si>
  <si>
    <t>Terminal value at FY30E (Gordon growth)</t>
  </si>
  <si>
    <t>PV of terminal value</t>
  </si>
  <si>
    <t>Terminal value as % of EV</t>
  </si>
  <si>
    <t>Implied terminal EV / FY30E EBITDA</t>
  </si>
  <si>
    <t>Sanity check on the terminal assumption - compare with the current market multiple in row 58.</t>
  </si>
  <si>
    <t>Less: gross financial liabilities</t>
  </si>
  <si>
    <t>Plus: cash &amp; cash equivalents</t>
  </si>
  <si>
    <t>Plus: other current financial assets</t>
  </si>
  <si>
    <t>Plus: retained TMICC stake (fair value)</t>
  </si>
  <si>
    <t>Less: non-controlling interests (book value)</t>
  </si>
  <si>
    <t>Equity value attributable to shareholders</t>
  </si>
  <si>
    <t>Pension surplus (net c.€3.5bn at FY25), minority put liabilities and JV/associate stakes are not adjusted for.</t>
  </si>
  <si>
    <t>Implied value per share (€)</t>
  </si>
  <si>
    <t>Upside / (downside) vs current price</t>
  </si>
  <si>
    <t>Memo: current market EV / FY25 EBITDA</t>
  </si>
  <si>
    <t>Market cap plus net debt-like items and NCI, over FY25 reported EBITDA (EBIT + D&amp;A). Compare with implied terminal multiple above.</t>
  </si>
  <si>
    <t>SENSITIVITY: VALUE PER SHARE (€)</t>
  </si>
  <si>
    <t>WACC (down) vs terminal growth (across)</t>
  </si>
  <si>
    <t>Centre cell of the grid equals the implied value per share above. Each cell recomputes the full DCF (not a data table), so it updates live with all inputs.</t>
  </si>
  <si>
    <t>SCENARIO COMPARISON (static snapshot)</t>
  </si>
  <si>
    <t>FY30E turnover (€m)</t>
  </si>
  <si>
    <t>FY30E FCFF (€m)</t>
  </si>
  <si>
    <t>Enterprise value (€m)</t>
  </si>
  <si>
    <t>Equity value (€m)</t>
  </si>
  <si>
    <t>STATIC values (blue): generated by running the model with the selector at 1, 2 and 3 using the inputs and market data as at build. They do NOT update - re-run by switching ASSUMPTIONS!C4 and reading the live figures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</si>
</sst>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%;\(0.0%\);\-"/>
    <numFmt numFmtId="166" formatCode="0.0\x"/>
    <numFmt numFmtId="167" formatCode="_(* #,##0.00_);_(* \(#,##0.00\);_(* \-??_);_(@_)"/>
    <numFmt numFmtId="168" formatCode="dd\-mmm\-yyyy"/>
    <numFmt numFmtId="169" formatCode="#,##0.0"/>
    <numFmt numFmtId="170" formatCode="0.0"/>
    <numFmt numFmtId="171" formatCode="0.000"/>
  </numFmts>
  <fonts count="27" x14ac:knownFonts="1">
    <font>
      <sz val="11"/>
      <color theme="1"/>
      <name val="Calibri"/>
      <family val="2"/>
      <charset val="1"/>
    </font>
    <font>
      <b/>
      <sz val="28"/>
      <color rgb="FFFFFFFF"/>
      <name val="Calibri"/>
      <charset val="1"/>
    </font>
    <font>
      <b/>
      <sz val="16"/>
      <color rgb="FFFFFFFF"/>
      <name val="Calibri"/>
      <charset val="1"/>
    </font>
    <font>
      <i/>
      <sz val="11"/>
      <color rgb="FFD9E1F2"/>
      <name val="Calibri"/>
      <charset val="1"/>
    </font>
    <font>
      <b/>
      <sz val="11"/>
      <name val="Calibri"/>
      <charset val="1"/>
    </font>
    <font>
      <sz val="11"/>
      <name val="Calibri"/>
      <charset val="1"/>
    </font>
    <font>
      <b/>
      <sz val="12"/>
      <color rgb="FF1F4E79"/>
      <name val="Calibri"/>
      <charset val="1"/>
    </font>
    <font>
      <b/>
      <sz val="11"/>
      <color rgb="FF1F4E79"/>
      <name val="Calibri"/>
      <charset val="1"/>
    </font>
    <font>
      <b/>
      <sz val="11"/>
      <color rgb="FF0000FF"/>
      <name val="Calibri"/>
      <charset val="1"/>
    </font>
    <font>
      <b/>
      <sz val="11"/>
      <color rgb="FF008000"/>
      <name val="Calibri"/>
      <charset val="1"/>
    </font>
    <font>
      <i/>
      <sz val="9"/>
      <color rgb="FF7F7F7F"/>
      <name val="Calibri"/>
      <charset val="1"/>
    </font>
    <font>
      <b/>
      <sz val="18"/>
      <color rgb="FFFFFFFF"/>
      <name val="Calibri"/>
      <charset val="1"/>
    </font>
    <font>
      <sz val="10"/>
      <color rgb="FFD9E1F2"/>
      <name val="Calibri"/>
      <charset val="1"/>
    </font>
    <font>
      <b/>
      <sz val="13"/>
      <color rgb="FF1F4E79"/>
      <name val="Calibri"/>
      <charset val="1"/>
    </font>
    <font>
      <b/>
      <sz val="11"/>
      <color rgb="FFFFFFFF"/>
      <name val="Calibri"/>
      <charset val="1"/>
    </font>
    <font>
      <sz val="11"/>
      <color rgb="FF008000"/>
      <name val="Calibri"/>
      <charset val="1"/>
    </font>
    <font>
      <sz val="9"/>
      <color rgb="FF7F7F7F"/>
      <name val="Calibri"/>
      <charset val="1"/>
    </font>
    <font>
      <sz val="9"/>
      <color rgb="FF008000"/>
      <name val="Calibri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name val="Calibri"/>
      <family val="2"/>
      <charset val="1"/>
    </font>
    <font>
      <strike/>
      <sz val="11"/>
      <color theme="1"/>
      <name val="Calibri"/>
      <family val="2"/>
      <charset val="1"/>
    </font>
    <font>
      <sz val="14"/>
      <name val="Calibri"/>
      <family val="2"/>
      <charset val="1"/>
    </font>
    <font>
      <sz val="11"/>
      <color rgb="FF0000FF"/>
      <name val="Calibri"/>
      <charset val="1"/>
    </font>
    <font>
      <i/>
      <sz val="10"/>
      <name val="Calibri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4" xfId="0" applyBorder="1" applyAlignment="1">
      <alignment horizontal="center" vertical="distributed" wrapText="1" shrinkToFit="1"/>
    </xf>
    <xf numFmtId="0" fontId="0" fillId="0" borderId="5" xfId="0" applyBorder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6" fillId="3" borderId="1" xfId="0" applyFont="1" applyFill="1" applyBorder="1"/>
    <xf numFmtId="0" fontId="0" fillId="3" borderId="1" xfId="0" applyFill="1" applyBorder="1"/>
    <xf numFmtId="0" fontId="7" fillId="0" borderId="0" xfId="0" applyFont="1"/>
    <xf numFmtId="0" fontId="5" fillId="0" borderId="0" xfId="0" applyFont="1"/>
    <xf numFmtId="0" fontId="8" fillId="0" borderId="0" xfId="0" applyFont="1"/>
    <xf numFmtId="0" fontId="4" fillId="0" borderId="0" xfId="0" applyFont="1"/>
    <xf numFmtId="0" fontId="9" fillId="0" borderId="0" xfId="0" applyFont="1"/>
    <xf numFmtId="0" fontId="4" fillId="4" borderId="0" xfId="0" applyFont="1" applyFill="1"/>
    <xf numFmtId="0" fontId="10" fillId="0" borderId="0" xfId="0" applyFont="1"/>
    <xf numFmtId="0" fontId="11" fillId="2" borderId="0" xfId="0" applyFont="1" applyFill="1"/>
    <xf numFmtId="0" fontId="12" fillId="2" borderId="0" xfId="0" applyFont="1" applyFill="1"/>
    <xf numFmtId="0" fontId="13" fillId="0" borderId="0" xfId="0" applyFont="1"/>
    <xf numFmtId="0" fontId="14" fillId="2" borderId="0" xfId="0" applyFont="1" applyFill="1"/>
    <xf numFmtId="164" fontId="15" fillId="0" borderId="0" xfId="0" applyNumberFormat="1" applyFont="1"/>
    <xf numFmtId="2" fontId="9" fillId="0" borderId="0" xfId="0" applyNumberFormat="1" applyFont="1"/>
    <xf numFmtId="2" fontId="15" fillId="0" borderId="0" xfId="0" applyNumberFormat="1" applyFont="1"/>
    <xf numFmtId="165" fontId="9" fillId="0" borderId="0" xfId="0" applyNumberFormat="1" applyFont="1"/>
    <xf numFmtId="10" fontId="15" fillId="0" borderId="0" xfId="0" applyNumberFormat="1" applyFont="1"/>
    <xf numFmtId="166" fontId="15" fillId="0" borderId="0" xfId="0" applyNumberFormat="1" applyFont="1"/>
    <xf numFmtId="0" fontId="4" fillId="0" borderId="0" xfId="0" applyFont="1" applyAlignment="1">
      <alignment horizontal="right"/>
    </xf>
    <xf numFmtId="0" fontId="16" fillId="0" borderId="0" xfId="0" applyFont="1"/>
    <xf numFmtId="2" fontId="17" fillId="0" borderId="0" xfId="0" applyNumberFormat="1" applyFont="1"/>
    <xf numFmtId="165" fontId="15" fillId="0" borderId="0" xfId="0" applyNumberFormat="1" applyFont="1"/>
    <xf numFmtId="0" fontId="14" fillId="2" borderId="0" xfId="0" applyFont="1" applyFill="1" applyAlignment="1">
      <alignment horizontal="center"/>
    </xf>
    <xf numFmtId="164" fontId="1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66" fontId="15" fillId="0" borderId="0" xfId="0" applyNumberFormat="1" applyFont="1" applyAlignment="1">
      <alignment horizontal="right"/>
    </xf>
    <xf numFmtId="0" fontId="18" fillId="0" borderId="0" xfId="0" applyFont="1" applyAlignment="1">
      <alignment vertical="distributed" wrapText="1" shrinkToFit="1"/>
    </xf>
    <xf numFmtId="0" fontId="0" fillId="0" borderId="0" xfId="0" applyAlignment="1">
      <alignment vertical="distributed" wrapText="1" shrinkToFit="1"/>
    </xf>
    <xf numFmtId="0" fontId="19" fillId="2" borderId="0" xfId="0" applyFont="1" applyFill="1" applyAlignment="1">
      <alignment vertical="distributed" wrapText="1" shrinkToFit="1"/>
    </xf>
    <xf numFmtId="0" fontId="18" fillId="0" borderId="2" xfId="0" applyFont="1" applyBorder="1" applyAlignment="1">
      <alignment vertical="distributed" wrapText="1" shrinkToFit="1"/>
    </xf>
    <xf numFmtId="0" fontId="0" fillId="0" borderId="2" xfId="0" applyBorder="1"/>
    <xf numFmtId="167" fontId="20" fillId="0" borderId="2" xfId="0" applyNumberFormat="1" applyFont="1" applyBorder="1"/>
    <xf numFmtId="167" fontId="0" fillId="0" borderId="2" xfId="0" applyNumberFormat="1" applyBorder="1"/>
    <xf numFmtId="0" fontId="0" fillId="0" borderId="2" xfId="0" applyBorder="1" applyAlignment="1">
      <alignment vertical="distributed" wrapText="1" shrinkToFit="1"/>
    </xf>
    <xf numFmtId="167" fontId="0" fillId="0" borderId="0" xfId="0" applyNumberFormat="1"/>
    <xf numFmtId="167" fontId="20" fillId="0" borderId="0" xfId="0" applyNumberFormat="1" applyFont="1"/>
    <xf numFmtId="167" fontId="21" fillId="0" borderId="2" xfId="0" applyNumberFormat="1" applyFont="1" applyBorder="1"/>
    <xf numFmtId="0" fontId="0" fillId="0" borderId="3" xfId="0" applyBorder="1" applyAlignment="1">
      <alignment vertical="distributed" wrapText="1" shrinkToFit="1"/>
    </xf>
    <xf numFmtId="0" fontId="0" fillId="0" borderId="3" xfId="0" applyBorder="1"/>
    <xf numFmtId="167" fontId="21" fillId="0" borderId="3" xfId="0" applyNumberFormat="1" applyFont="1" applyBorder="1"/>
    <xf numFmtId="0" fontId="22" fillId="0" borderId="0" xfId="0" applyFont="1"/>
    <xf numFmtId="10" fontId="23" fillId="0" borderId="0" xfId="0" applyNumberFormat="1" applyFont="1" applyAlignment="1">
      <alignment horizontal="center"/>
    </xf>
    <xf numFmtId="10" fontId="21" fillId="0" borderId="0" xfId="0" applyNumberFormat="1" applyFont="1"/>
    <xf numFmtId="10" fontId="0" fillId="0" borderId="0" xfId="0" applyNumberFormat="1"/>
    <xf numFmtId="0" fontId="19" fillId="2" borderId="4" xfId="0" applyFont="1" applyFill="1" applyBorder="1" applyAlignment="1">
      <alignment vertical="distributed" wrapText="1" shrinkToFit="1"/>
    </xf>
    <xf numFmtId="0" fontId="0" fillId="0" borderId="4" xfId="0" applyBorder="1"/>
    <xf numFmtId="167" fontId="24" fillId="0" borderId="0" xfId="0" applyNumberFormat="1" applyFont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167" fontId="0" fillId="0" borderId="5" xfId="0" applyNumberFormat="1" applyBorder="1"/>
    <xf numFmtId="167" fontId="15" fillId="0" borderId="0" xfId="0" applyNumberFormat="1" applyFont="1"/>
    <xf numFmtId="167" fontId="0" fillId="0" borderId="4" xfId="0" applyNumberFormat="1" applyBorder="1"/>
    <xf numFmtId="0" fontId="0" fillId="0" borderId="5" xfId="0" applyBorder="1"/>
    <xf numFmtId="0" fontId="0" fillId="0" borderId="5" xfId="0" applyBorder="1" applyAlignment="1">
      <alignment vertical="distributed" wrapText="1" shrinkToFit="1"/>
    </xf>
    <xf numFmtId="2" fontId="0" fillId="0" borderId="3" xfId="0" applyNumberFormat="1" applyBorder="1"/>
    <xf numFmtId="0" fontId="25" fillId="0" borderId="0" xfId="0" applyFont="1"/>
    <xf numFmtId="1" fontId="8" fillId="4" borderId="0" xfId="0" applyNumberFormat="1" applyFont="1" applyFill="1"/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/>
    </xf>
    <xf numFmtId="165" fontId="5" fillId="0" borderId="0" xfId="0" applyNumberFormat="1" applyFont="1"/>
    <xf numFmtId="0" fontId="25" fillId="0" borderId="0" xfId="0" applyFont="1" applyAlignment="1">
      <alignment horizontal="left" indent="1"/>
    </xf>
    <xf numFmtId="10" fontId="5" fillId="0" borderId="0" xfId="0" applyNumberFormat="1" applyFont="1" applyAlignment="1">
      <alignment horizontal="right"/>
    </xf>
    <xf numFmtId="10" fontId="15" fillId="0" borderId="0" xfId="0" applyNumberFormat="1" applyFont="1" applyAlignment="1">
      <alignment horizontal="right"/>
    </xf>
    <xf numFmtId="10" fontId="24" fillId="0" borderId="0" xfId="0" applyNumberFormat="1" applyFont="1"/>
    <xf numFmtId="164" fontId="24" fillId="0" borderId="0" xfId="0" applyNumberFormat="1" applyFont="1"/>
    <xf numFmtId="0" fontId="0" fillId="0" borderId="0" xfId="0" applyAlignment="1">
      <alignment horizontal="right"/>
    </xf>
    <xf numFmtId="165" fontId="24" fillId="0" borderId="0" xfId="0" applyNumberFormat="1" applyFont="1"/>
    <xf numFmtId="0" fontId="19" fillId="2" borderId="0" xfId="0" applyFont="1" applyFill="1" applyAlignment="1">
      <alignment horizontal="left" indent="1"/>
    </xf>
    <xf numFmtId="164" fontId="5" fillId="0" borderId="0" xfId="0" applyNumberFormat="1" applyFont="1"/>
    <xf numFmtId="164" fontId="4" fillId="0" borderId="0" xfId="0" applyNumberFormat="1" applyFont="1"/>
    <xf numFmtId="166" fontId="5" fillId="0" borderId="0" xfId="0" applyNumberFormat="1" applyFont="1"/>
    <xf numFmtId="168" fontId="24" fillId="0" borderId="0" xfId="0" applyNumberFormat="1" applyFont="1"/>
    <xf numFmtId="2" fontId="24" fillId="0" borderId="0" xfId="0" applyNumberFormat="1" applyFont="1"/>
    <xf numFmtId="169" fontId="24" fillId="0" borderId="0" xfId="0" applyNumberFormat="1" applyFont="1"/>
    <xf numFmtId="10" fontId="5" fillId="0" borderId="0" xfId="0" applyNumberFormat="1" applyFont="1"/>
    <xf numFmtId="10" fontId="4" fillId="0" borderId="0" xfId="0" applyNumberFormat="1" applyFont="1"/>
    <xf numFmtId="1" fontId="24" fillId="0" borderId="0" xfId="0" applyNumberFormat="1" applyFont="1"/>
    <xf numFmtId="164" fontId="15" fillId="0" borderId="0" xfId="0" applyNumberFormat="1" applyFont="1" applyAlignment="1">
      <alignment horizontal="left" indent="1"/>
    </xf>
    <xf numFmtId="164" fontId="5" fillId="0" borderId="0" xfId="0" applyNumberFormat="1" applyFont="1" applyAlignment="1">
      <alignment horizontal="left" indent="1"/>
    </xf>
    <xf numFmtId="170" fontId="5" fillId="0" borderId="0" xfId="0" applyNumberFormat="1" applyFont="1"/>
    <xf numFmtId="171" fontId="5" fillId="0" borderId="0" xfId="0" applyNumberFormat="1" applyFont="1"/>
    <xf numFmtId="169" fontId="5" fillId="0" borderId="0" xfId="0" applyNumberFormat="1" applyFont="1"/>
    <xf numFmtId="2" fontId="4" fillId="0" borderId="0" xfId="0" applyNumberFormat="1" applyFont="1"/>
    <xf numFmtId="2" fontId="5" fillId="0" borderId="0" xfId="0" applyNumberFormat="1" applyFont="1"/>
    <xf numFmtId="165" fontId="4" fillId="0" borderId="0" xfId="0" applyNumberFormat="1" applyFont="1"/>
    <xf numFmtId="2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Value per share vs current price (EUR)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Summary!$G$21:$G$24</c:f>
              <c:strCache>
                <c:ptCount val="4"/>
                <c:pt idx="0">
                  <c:v>Worst</c:v>
                </c:pt>
                <c:pt idx="1">
                  <c:v>Base</c:v>
                </c:pt>
                <c:pt idx="2">
                  <c:v>Best</c:v>
                </c:pt>
                <c:pt idx="3">
                  <c:v>Price</c:v>
                </c:pt>
              </c:strCache>
            </c:strRef>
          </c:cat>
          <c:val>
            <c:numRef>
              <c:f>Summary!$H$21:$H$24</c:f>
              <c:numCache>
                <c:formatCode>0.00</c:formatCode>
                <c:ptCount val="4"/>
                <c:pt idx="0">
                  <c:v>50.709661940418798</c:v>
                </c:pt>
                <c:pt idx="1">
                  <c:v>67.925823544059298</c:v>
                </c:pt>
                <c:pt idx="2">
                  <c:v>80.126488795523102</c:v>
                </c:pt>
                <c:pt idx="3">
                  <c:v>53.9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06-4CF6-919F-C93AB6855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22398"/>
        <c:axId val="81227539"/>
      </c:barChart>
      <c:catAx>
        <c:axId val="42322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227539"/>
        <c:crosses val="autoZero"/>
        <c:auto val="1"/>
        <c:lblAlgn val="ctr"/>
        <c:lblOffset val="100"/>
        <c:noMultiLvlLbl val="0"/>
      </c:catAx>
      <c:valAx>
        <c:axId val="81227539"/>
        <c:scaling>
          <c:orientation val="minMax"/>
        </c:scaling>
        <c:delete val="0"/>
        <c:axPos val="l"/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223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86400</xdr:rowOff>
    </xdr:from>
    <xdr:to>
      <xdr:col>9</xdr:col>
      <xdr:colOff>630720</xdr:colOff>
      <xdr:row>15</xdr:row>
      <xdr:rowOff>135360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Unilever_PLC_3S_DCF_Model_v1_1.xlsx" TargetMode="External"/><Relationship Id="rId2" Type="http://schemas.openxmlformats.org/officeDocument/2006/relationships/hyperlink" Target="Unilever_PLC_3S_DCF_Model_v1_1.xlsx" TargetMode="External"/><Relationship Id="rId1" Type="http://schemas.openxmlformats.org/officeDocument/2006/relationships/hyperlink" Target="Unilever_PLC_3S_DCF_Model_v1_1.xlsx" TargetMode="External"/><Relationship Id="rId5" Type="http://schemas.openxmlformats.org/officeDocument/2006/relationships/hyperlink" Target="Unilever_PLC_3S_DCF_Model_v1_1.xlsx" TargetMode="External"/><Relationship Id="rId4" Type="http://schemas.openxmlformats.org/officeDocument/2006/relationships/hyperlink" Target="Unilever_PLC_3S_DCF_Model_v1_1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0"/>
  <sheetViews>
    <sheetView showGridLines="0" topLeftCell="A55" zoomScaleNormal="100" workbookViewId="0"/>
  </sheetViews>
  <sheetFormatPr defaultColWidth="8.6640625" defaultRowHeight="14.4" x14ac:dyDescent="0.3"/>
  <cols>
    <col min="1" max="1" width="3" customWidth="1"/>
    <col min="2" max="2" width="26" customWidth="1"/>
    <col min="3" max="3" width="95" customWidth="1"/>
  </cols>
  <sheetData>
    <row r="1" spans="1:3" x14ac:dyDescent="0.3">
      <c r="A1" s="3"/>
      <c r="B1" s="3"/>
      <c r="C1" s="3"/>
    </row>
    <row r="2" spans="1:3" ht="36.6" x14ac:dyDescent="0.7">
      <c r="A2" s="3"/>
      <c r="B2" s="4" t="s">
        <v>0</v>
      </c>
      <c r="C2" s="3"/>
    </row>
    <row r="3" spans="1:3" ht="21" x14ac:dyDescent="0.4">
      <c r="A3" s="3"/>
      <c r="B3" s="5" t="s">
        <v>1</v>
      </c>
      <c r="C3" s="3"/>
    </row>
    <row r="4" spans="1:3" x14ac:dyDescent="0.3">
      <c r="A4" s="3"/>
      <c r="B4" s="6" t="s">
        <v>2</v>
      </c>
      <c r="C4" s="3"/>
    </row>
    <row r="5" spans="1:3" x14ac:dyDescent="0.3">
      <c r="A5" s="3"/>
      <c r="B5" s="3"/>
      <c r="C5" s="3"/>
    </row>
    <row r="7" spans="1:3" ht="28.8" x14ac:dyDescent="0.3">
      <c r="B7" s="7" t="s">
        <v>3</v>
      </c>
      <c r="C7" s="8" t="s">
        <v>4</v>
      </c>
    </row>
    <row r="8" spans="1:3" x14ac:dyDescent="0.3">
      <c r="B8" s="7" t="s">
        <v>5</v>
      </c>
      <c r="C8" s="8" t="s">
        <v>6</v>
      </c>
    </row>
    <row r="9" spans="1:3" x14ac:dyDescent="0.3">
      <c r="B9" s="7" t="s">
        <v>7</v>
      </c>
      <c r="C9" s="8" t="s">
        <v>8</v>
      </c>
    </row>
    <row r="10" spans="1:3" x14ac:dyDescent="0.3">
      <c r="B10" s="7" t="s">
        <v>9</v>
      </c>
      <c r="C10" s="8" t="str">
        <f>Assumptions!D4&amp;" case  (change in ASSUMPTIONS!C4: 1 = Worst, 2 = Base, 3 = Best)"</f>
        <v>Base case  (change in ASSUMPTIONS!C4: 1 = Worst, 2 = Base, 3 = Best)</v>
      </c>
    </row>
    <row r="12" spans="1:3" ht="15.6" x14ac:dyDescent="0.3">
      <c r="B12" s="9" t="s">
        <v>10</v>
      </c>
      <c r="C12" s="10"/>
    </row>
    <row r="13" spans="1:3" x14ac:dyDescent="0.3">
      <c r="B13" s="11" t="s">
        <v>11</v>
      </c>
      <c r="C13" s="12" t="s">
        <v>12</v>
      </c>
    </row>
    <row r="14" spans="1:3" x14ac:dyDescent="0.3">
      <c r="B14" s="11" t="s">
        <v>13</v>
      </c>
      <c r="C14" s="12" t="s">
        <v>14</v>
      </c>
    </row>
    <row r="15" spans="1:3" x14ac:dyDescent="0.3">
      <c r="B15" s="11" t="s">
        <v>15</v>
      </c>
      <c r="C15" s="12" t="s">
        <v>16</v>
      </c>
    </row>
    <row r="16" spans="1:3" x14ac:dyDescent="0.3">
      <c r="B16" s="11" t="s">
        <v>17</v>
      </c>
      <c r="C16" s="12" t="s">
        <v>18</v>
      </c>
    </row>
    <row r="17" spans="2:3" x14ac:dyDescent="0.3">
      <c r="B17" s="11" t="s">
        <v>19</v>
      </c>
      <c r="C17" s="12" t="s">
        <v>20</v>
      </c>
    </row>
    <row r="19" spans="2:3" ht="15.6" x14ac:dyDescent="0.3">
      <c r="B19" s="9" t="s">
        <v>21</v>
      </c>
      <c r="C19" s="10"/>
    </row>
    <row r="20" spans="2:3" x14ac:dyDescent="0.3">
      <c r="C20" s="12" t="s">
        <v>22</v>
      </c>
    </row>
    <row r="21" spans="2:3" x14ac:dyDescent="0.3">
      <c r="C21" s="12" t="s">
        <v>23</v>
      </c>
    </row>
    <row r="22" spans="2:3" x14ac:dyDescent="0.3">
      <c r="C22" s="12" t="s">
        <v>24</v>
      </c>
    </row>
    <row r="23" spans="2:3" x14ac:dyDescent="0.3">
      <c r="C23" s="12" t="s">
        <v>25</v>
      </c>
    </row>
    <row r="25" spans="2:3" ht="15.6" x14ac:dyDescent="0.3">
      <c r="B25" s="9" t="s">
        <v>26</v>
      </c>
      <c r="C25" s="10"/>
    </row>
    <row r="26" spans="2:3" x14ac:dyDescent="0.3">
      <c r="B26" s="13" t="s">
        <v>27</v>
      </c>
      <c r="C26" s="12" t="s">
        <v>28</v>
      </c>
    </row>
    <row r="27" spans="2:3" x14ac:dyDescent="0.3">
      <c r="B27" s="14" t="s">
        <v>29</v>
      </c>
      <c r="C27" s="12" t="s">
        <v>30</v>
      </c>
    </row>
    <row r="28" spans="2:3" x14ac:dyDescent="0.3">
      <c r="B28" s="15" t="s">
        <v>31</v>
      </c>
      <c r="C28" s="12" t="s">
        <v>32</v>
      </c>
    </row>
    <row r="29" spans="2:3" x14ac:dyDescent="0.3">
      <c r="B29" s="16" t="s">
        <v>33</v>
      </c>
      <c r="C29" s="12" t="s">
        <v>34</v>
      </c>
    </row>
    <row r="31" spans="2:3" ht="15.6" x14ac:dyDescent="0.3">
      <c r="B31" s="9" t="s">
        <v>35</v>
      </c>
      <c r="C31" s="10"/>
    </row>
    <row r="32" spans="2:3" x14ac:dyDescent="0.3">
      <c r="B32" s="14" t="s">
        <v>36</v>
      </c>
      <c r="C32" s="15" t="str">
        <f>IF(SUMPRODUCT(ABS('Data Input'!C50:J50))&lt;0.5,"OK - balance sheet balances in all years","CHECK - balance sheet does not balance")</f>
        <v>OK - balance sheet balances in all years</v>
      </c>
    </row>
    <row r="33" spans="2:3" x14ac:dyDescent="0.3">
      <c r="B33" s="14" t="s">
        <v>37</v>
      </c>
      <c r="C33" s="15" t="str">
        <f>IF(SUMPRODUCT(--ISERROR('Data Input'!A1:J60))+SUMPRODUCT(--ISERROR(Assumptions!A1:K70))+SUMPRODUCT(--ISERROR('Cash flow'!A1:J40))+SUMPRODUCT(--ISERROR(DCF!A1:J80))=0,"OK - no formula errors","CHECK - formula errors found")</f>
        <v>OK - no formula errors</v>
      </c>
    </row>
    <row r="35" spans="2:3" ht="15.6" x14ac:dyDescent="0.3">
      <c r="B35" s="9" t="s">
        <v>38</v>
      </c>
      <c r="C35" s="10"/>
    </row>
    <row r="36" spans="2:3" x14ac:dyDescent="0.3">
      <c r="C36" s="12" t="s">
        <v>39</v>
      </c>
    </row>
    <row r="37" spans="2:3" x14ac:dyDescent="0.3">
      <c r="C37" s="12" t="s">
        <v>40</v>
      </c>
    </row>
    <row r="38" spans="2:3" x14ac:dyDescent="0.3">
      <c r="C38" s="12" t="s">
        <v>41</v>
      </c>
    </row>
    <row r="40" spans="2:3" x14ac:dyDescent="0.3">
      <c r="B40" s="17" t="s">
        <v>42</v>
      </c>
    </row>
  </sheetData>
  <hyperlinks>
    <hyperlink ref="B13" r:id="rId1" location="'Summary'!A1" xr:uid="{00000000-0004-0000-0000-000000000000}"/>
    <hyperlink ref="B14" r:id="rId2" location="'DATA_INPUT'!A1" xr:uid="{00000000-0004-0000-0000-000001000000}"/>
    <hyperlink ref="B15" r:id="rId3" location="'ASSUMPTIONS'!A1" xr:uid="{00000000-0004-0000-0000-000002000000}"/>
    <hyperlink ref="B16" r:id="rId4" location="'CASH_FLOW'!A1" xr:uid="{00000000-0004-0000-0000-000003000000}"/>
    <hyperlink ref="B17" r:id="rId5" location="'DCF'!A1" xr:uid="{00000000-0004-0000-0000-000004000000}"/>
  </hyperlink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5"/>
  <sheetViews>
    <sheetView showGridLines="0" zoomScaleNormal="100" workbookViewId="0">
      <selection activeCell="D24" sqref="D24"/>
    </sheetView>
  </sheetViews>
  <sheetFormatPr defaultColWidth="8.6640625" defaultRowHeight="14.4" x14ac:dyDescent="0.3"/>
  <cols>
    <col min="1" max="1" width="46" customWidth="1"/>
    <col min="2" max="2" width="8" customWidth="1"/>
    <col min="3" max="10" width="12" customWidth="1"/>
  </cols>
  <sheetData>
    <row r="1" spans="1:10" ht="23.4" x14ac:dyDescent="0.45">
      <c r="A1" s="18" t="s">
        <v>43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19" t="str">
        <f>"Active scenario: "&amp;Assumptions!D4&amp;"   |   EUR millions unless stated   |   Valuation date 31-Dec-2025 balance sheet"</f>
        <v>Active scenario: Base   |   EUR millions unless stated   |   Valuation date 31-Dec-2025 balance sheet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5" spans="1:10" ht="17.399999999999999" x14ac:dyDescent="0.35">
      <c r="A5" s="20" t="str">
        <f>"Headline: "&amp;Assumptions!D4&amp;" case implies EUR "&amp;TEXT(DCF!C55,"0.00")&amp;" per share vs EUR "&amp;TEXT(DCF!C7,"0.00")&amp;" current price ("&amp;TEXT(DCF!C57,"+0%;-0%")&amp;")."</f>
        <v>Headline: Base case implies EUR 67.93 per share vs EUR 53.90 current price (+26%).</v>
      </c>
    </row>
    <row r="6" spans="1:10" x14ac:dyDescent="0.3">
      <c r="A6" s="12" t="str">
        <f>"Scenario range (static snapshot): EUR "&amp;TEXT(DCF!C77,"0")&amp;" (Worst) to EUR "&amp;TEXT(DCF!E77,"0")&amp;" (Best); Base EUR "&amp;TEXT(DCF!D77,"0")&amp;". Terminal value is "&amp;TEXT(DCF!C46,"0%")&amp;" of enterprise value."</f>
        <v>Scenario range (static snapshot): EUR 51 (Worst) to EUR 80 (Best); Base EUR 68. Terminal value is 81% of enterprise value.</v>
      </c>
    </row>
    <row r="8" spans="1:10" x14ac:dyDescent="0.3">
      <c r="A8" s="21" t="s">
        <v>44</v>
      </c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12" t="s">
        <v>45</v>
      </c>
      <c r="C9" s="22">
        <f>DCF!C45</f>
        <v>171662.33241427733</v>
      </c>
    </row>
    <row r="10" spans="1:10" x14ac:dyDescent="0.3">
      <c r="A10" s="12" t="s">
        <v>46</v>
      </c>
      <c r="C10" s="22">
        <f>DCF!C53</f>
        <v>148044.33241427733</v>
      </c>
    </row>
    <row r="11" spans="1:10" x14ac:dyDescent="0.3">
      <c r="A11" s="14" t="s">
        <v>47</v>
      </c>
      <c r="C11" s="23">
        <f>DCF!C55</f>
        <v>67.925823544059341</v>
      </c>
    </row>
    <row r="12" spans="1:10" x14ac:dyDescent="0.3">
      <c r="A12" s="12" t="s">
        <v>48</v>
      </c>
      <c r="C12" s="24">
        <f>DCF!C7</f>
        <v>53.9</v>
      </c>
    </row>
    <row r="13" spans="1:10" x14ac:dyDescent="0.3">
      <c r="A13" s="14" t="s">
        <v>49</v>
      </c>
      <c r="C13" s="25">
        <f>DCF!C57</f>
        <v>0.26021936074321594</v>
      </c>
    </row>
    <row r="14" spans="1:10" x14ac:dyDescent="0.3">
      <c r="A14" s="12" t="s">
        <v>50</v>
      </c>
      <c r="C14" s="26">
        <f>DCF!C19</f>
        <v>6.6682937509712506E-2</v>
      </c>
    </row>
    <row r="15" spans="1:10" x14ac:dyDescent="0.3">
      <c r="A15" s="12" t="s">
        <v>51</v>
      </c>
      <c r="C15" s="26">
        <f>DCF!C20</f>
        <v>0.02</v>
      </c>
    </row>
    <row r="16" spans="1:10" x14ac:dyDescent="0.3">
      <c r="A16" s="12" t="s">
        <v>52</v>
      </c>
      <c r="C16" s="27">
        <f>DCF!C47</f>
        <v>14.225422421001022</v>
      </c>
    </row>
    <row r="17" spans="1:10" x14ac:dyDescent="0.3">
      <c r="A17" s="12" t="s">
        <v>53</v>
      </c>
      <c r="C17" s="27">
        <f>DCF!C58</f>
        <v>13.63613124577172</v>
      </c>
    </row>
    <row r="19" spans="1:10" x14ac:dyDescent="0.3">
      <c r="A19" s="21" t="s">
        <v>54</v>
      </c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3">
      <c r="C20" s="28" t="s">
        <v>55</v>
      </c>
      <c r="D20" s="28" t="s">
        <v>56</v>
      </c>
      <c r="E20" s="28" t="s">
        <v>57</v>
      </c>
      <c r="G20" s="17" t="s">
        <v>58</v>
      </c>
    </row>
    <row r="21" spans="1:10" x14ac:dyDescent="0.3">
      <c r="A21" s="12" t="s">
        <v>59</v>
      </c>
      <c r="C21" s="22">
        <f>DCF!C72</f>
        <v>54670.090940551803</v>
      </c>
      <c r="D21" s="22">
        <f>DCF!D72</f>
        <v>59392.362026743198</v>
      </c>
      <c r="E21" s="22">
        <f>DCF!E72</f>
        <v>62921.379947343798</v>
      </c>
      <c r="G21" s="29" t="s">
        <v>55</v>
      </c>
      <c r="H21" s="30">
        <f>DCF!C77</f>
        <v>50.709661940418798</v>
      </c>
    </row>
    <row r="22" spans="1:10" x14ac:dyDescent="0.3">
      <c r="A22" s="12" t="s">
        <v>60</v>
      </c>
      <c r="C22" s="31">
        <f>DCF!C73</f>
        <v>0.17499999999999999</v>
      </c>
      <c r="D22" s="31">
        <f>DCF!D73</f>
        <v>0.19400000000000001</v>
      </c>
      <c r="E22" s="31">
        <f>DCF!E73</f>
        <v>0.20499999999999999</v>
      </c>
      <c r="G22" s="29" t="s">
        <v>56</v>
      </c>
      <c r="H22" s="30">
        <f>DCF!D77</f>
        <v>67.925823544059298</v>
      </c>
    </row>
    <row r="23" spans="1:10" x14ac:dyDescent="0.3">
      <c r="A23" s="12" t="s">
        <v>61</v>
      </c>
      <c r="C23" s="22">
        <f>DCF!C74</f>
        <v>6570.1925712943103</v>
      </c>
      <c r="D23" s="22">
        <f>DCF!D74</f>
        <v>8507.0004179853204</v>
      </c>
      <c r="E23" s="22">
        <f>DCF!E74</f>
        <v>9874.83642509331</v>
      </c>
      <c r="G23" s="29" t="s">
        <v>57</v>
      </c>
      <c r="H23" s="30">
        <f>DCF!E77</f>
        <v>80.126488795523102</v>
      </c>
    </row>
    <row r="24" spans="1:10" x14ac:dyDescent="0.3">
      <c r="A24" s="12" t="s">
        <v>45</v>
      </c>
      <c r="C24" s="22">
        <f>DCF!C75</f>
        <v>134139.708199143</v>
      </c>
      <c r="D24" s="22">
        <f>DCF!D75</f>
        <v>171662.33241427701</v>
      </c>
      <c r="E24" s="22">
        <f>DCF!E75</f>
        <v>198253.682329843</v>
      </c>
      <c r="G24" s="29" t="s">
        <v>62</v>
      </c>
      <c r="H24" s="30">
        <f>DCF!C7</f>
        <v>53.9</v>
      </c>
    </row>
    <row r="25" spans="1:10" x14ac:dyDescent="0.3">
      <c r="A25" s="14" t="s">
        <v>47</v>
      </c>
      <c r="C25" s="23">
        <f>DCF!C77</f>
        <v>50.709661940418798</v>
      </c>
      <c r="D25" s="23">
        <f>DCF!D77</f>
        <v>67.925823544059298</v>
      </c>
      <c r="E25" s="23">
        <f>DCF!E77</f>
        <v>80.126488795523102</v>
      </c>
    </row>
    <row r="26" spans="1:10" x14ac:dyDescent="0.3">
      <c r="A26" s="12" t="s">
        <v>49</v>
      </c>
      <c r="C26" s="31">
        <f>DCF!C78</f>
        <v>-5.9189945446775603E-2</v>
      </c>
      <c r="D26" s="31">
        <f>DCF!D78</f>
        <v>0.260219360743216</v>
      </c>
      <c r="E26" s="31">
        <f>DCF!E78</f>
        <v>0.48657678655886999</v>
      </c>
    </row>
    <row r="28" spans="1:10" x14ac:dyDescent="0.3">
      <c r="A28" s="21" t="s">
        <v>63</v>
      </c>
      <c r="B28" s="3"/>
      <c r="C28" s="32" t="s">
        <v>64</v>
      </c>
      <c r="D28" s="32" t="s">
        <v>65</v>
      </c>
      <c r="E28" s="32" t="s">
        <v>66</v>
      </c>
      <c r="F28" s="32" t="s">
        <v>67</v>
      </c>
      <c r="G28" s="32" t="s">
        <v>68</v>
      </c>
      <c r="H28" s="32" t="s">
        <v>69</v>
      </c>
      <c r="I28" s="32" t="s">
        <v>70</v>
      </c>
      <c r="J28" s="32" t="s">
        <v>71</v>
      </c>
    </row>
    <row r="29" spans="1:10" x14ac:dyDescent="0.3">
      <c r="A29" s="12" t="s">
        <v>72</v>
      </c>
      <c r="C29" s="33">
        <f>'Data Input'!C6</f>
        <v>51680</v>
      </c>
      <c r="D29" s="33">
        <f>'Data Input'!D6</f>
        <v>52479</v>
      </c>
      <c r="E29" s="33">
        <f>'Data Input'!E6</f>
        <v>50503</v>
      </c>
      <c r="F29" s="33">
        <f>'Data Input'!F6</f>
        <v>51260.544999999998</v>
      </c>
      <c r="G29" s="33">
        <f>'Data Input'!G6</f>
        <v>53054.664074999993</v>
      </c>
      <c r="H29" s="33">
        <f>'Data Input'!H6</f>
        <v>55176.850637999996</v>
      </c>
      <c r="I29" s="33">
        <f>'Data Input'!I6</f>
        <v>57383.924663519996</v>
      </c>
      <c r="J29" s="33">
        <f>'Data Input'!J6</f>
        <v>59392.362026743191</v>
      </c>
    </row>
    <row r="30" spans="1:10" x14ac:dyDescent="0.3">
      <c r="A30" s="12" t="s">
        <v>73</v>
      </c>
      <c r="C30" s="34" t="s">
        <v>74</v>
      </c>
      <c r="D30" s="35">
        <f>'Data Input'!D15</f>
        <v>1.5460526315789473E-2</v>
      </c>
      <c r="E30" s="35">
        <f>'Data Input'!E15</f>
        <v>-3.7653156500695513E-2</v>
      </c>
      <c r="F30" s="35">
        <f>'Data Input'!F15</f>
        <v>1.4999999999999965E-2</v>
      </c>
      <c r="G30" s="35">
        <f>'Data Input'!G15</f>
        <v>3.4999999999999906E-2</v>
      </c>
      <c r="H30" s="35">
        <f>'Data Input'!H15</f>
        <v>4.0000000000000063E-2</v>
      </c>
      <c r="I30" s="35">
        <f>'Data Input'!I15</f>
        <v>0.04</v>
      </c>
      <c r="J30" s="35">
        <f>'Data Input'!J15</f>
        <v>3.4999999999999906E-2</v>
      </c>
    </row>
    <row r="31" spans="1:10" x14ac:dyDescent="0.3">
      <c r="A31" s="12" t="s">
        <v>75</v>
      </c>
      <c r="C31" s="33">
        <f>'Data Input'!C7</f>
        <v>8998</v>
      </c>
      <c r="D31" s="33">
        <f>'Data Input'!D7</f>
        <v>8829</v>
      </c>
      <c r="E31" s="33">
        <f>'Data Input'!E7</f>
        <v>9037</v>
      </c>
      <c r="F31" s="33">
        <f>'Data Input'!F7</f>
        <v>9431.9402799999989</v>
      </c>
      <c r="G31" s="33">
        <f>'Data Input'!G7</f>
        <v>9921.2221820249979</v>
      </c>
      <c r="H31" s="33">
        <f>'Data Input'!H7</f>
        <v>10483.601621219999</v>
      </c>
      <c r="I31" s="33">
        <f>'Data Input'!I7</f>
        <v>11017.71353539584</v>
      </c>
      <c r="J31" s="33">
        <f>'Data Input'!J7</f>
        <v>11522.118233188179</v>
      </c>
    </row>
    <row r="32" spans="1:10" x14ac:dyDescent="0.3">
      <c r="A32" s="12" t="s">
        <v>76</v>
      </c>
      <c r="C32" s="35">
        <f>'Data Input'!C16</f>
        <v>0.17410990712074303</v>
      </c>
      <c r="D32" s="35">
        <f>'Data Input'!D16</f>
        <v>0.168238724061053</v>
      </c>
      <c r="E32" s="35">
        <f>'Data Input'!E16</f>
        <v>0.17893986495851733</v>
      </c>
      <c r="F32" s="35">
        <f>'Data Input'!F16</f>
        <v>0.184</v>
      </c>
      <c r="G32" s="35">
        <f>'Data Input'!G16</f>
        <v>0.18699999999999997</v>
      </c>
      <c r="H32" s="35">
        <f>'Data Input'!H16</f>
        <v>0.19</v>
      </c>
      <c r="I32" s="35">
        <f>'Data Input'!I16</f>
        <v>0.192</v>
      </c>
      <c r="J32" s="35">
        <f>'Data Input'!J16</f>
        <v>0.19400000000000001</v>
      </c>
    </row>
    <row r="33" spans="1:10" x14ac:dyDescent="0.3">
      <c r="A33" s="12" t="s">
        <v>77</v>
      </c>
      <c r="C33" s="33">
        <f>'Data Input'!C12</f>
        <v>6636</v>
      </c>
      <c r="D33" s="33">
        <f>'Data Input'!D12</f>
        <v>6039</v>
      </c>
      <c r="E33" s="33">
        <f>'Data Input'!E12</f>
        <v>6212</v>
      </c>
      <c r="F33" s="33">
        <f>'Data Input'!F12</f>
        <v>6602.9962043999985</v>
      </c>
      <c r="G33" s="33">
        <f>'Data Input'!G12</f>
        <v>7003.421372583025</v>
      </c>
      <c r="H33" s="33">
        <f>'Data Input'!H12</f>
        <v>7465.633306517575</v>
      </c>
      <c r="I33" s="33">
        <f>'Data Input'!I12</f>
        <v>7861.2321199911312</v>
      </c>
      <c r="J33" s="33">
        <f>'Data Input'!J12</f>
        <v>8236.0387404944013</v>
      </c>
    </row>
    <row r="34" spans="1:10" x14ac:dyDescent="0.3">
      <c r="A34" s="12" t="s">
        <v>78</v>
      </c>
      <c r="F34" s="33">
        <f>DCF!F34</f>
        <v>6755.246791900001</v>
      </c>
      <c r="G34" s="33">
        <f>DCF!G34</f>
        <v>7274.7978698508723</v>
      </c>
      <c r="H34" s="33">
        <f>DCF!H34</f>
        <v>7779.0870653328002</v>
      </c>
      <c r="I34" s="33">
        <f>DCF!I34</f>
        <v>8175.1787564481201</v>
      </c>
      <c r="J34" s="33">
        <f>DCF!J34</f>
        <v>8507.0004179853149</v>
      </c>
    </row>
    <row r="35" spans="1:10" x14ac:dyDescent="0.3">
      <c r="A35" s="12" t="s">
        <v>79</v>
      </c>
      <c r="E35" s="36">
        <f>'Cash flow'!E36</f>
        <v>2.3520827292935151</v>
      </c>
      <c r="F35" s="36">
        <f>'Cash flow'!F36</f>
        <v>2.2887635887595961</v>
      </c>
      <c r="G35" s="36">
        <f>'Cash flow'!G36</f>
        <v>2.1897335582802619</v>
      </c>
      <c r="H35" s="36">
        <f>'Cash flow'!H36</f>
        <v>2.0742515549169331</v>
      </c>
      <c r="I35" s="36">
        <f>'Cash flow'!I36</f>
        <v>1.9678182751227908</v>
      </c>
      <c r="J35" s="36">
        <f>'Cash flow'!J36</f>
        <v>1.873385981015214</v>
      </c>
    </row>
    <row r="36" spans="1:10" x14ac:dyDescent="0.3">
      <c r="A36" s="17" t="s">
        <v>80</v>
      </c>
    </row>
    <row r="38" spans="1:10" x14ac:dyDescent="0.3">
      <c r="A38" s="21" t="s">
        <v>81</v>
      </c>
      <c r="B38" s="3"/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12" t="str">
        <f>"Revenue growth: "&amp;TEXT(Assumptions!F6,"0.0%")&amp;" in FY26E, "&amp;TEXT(Assumptions!J6,"0.0%")&amp;" by FY30E"</f>
        <v>Revenue growth: 1.5% in FY26E, 3.5% by FY30E</v>
      </c>
    </row>
    <row r="40" spans="1:10" x14ac:dyDescent="0.3">
      <c r="A40" s="12" t="str">
        <f>"Reported EBIT margin: "&amp;TEXT('Data Input'!E16,"0.0%")&amp;" (FY25) to "&amp;TEXT(Assumptions!J7,"0.0%")&amp;" (FY30E)"</f>
        <v>Reported EBIT margin: 17.9% (FY25) to 19.4% (FY30E)</v>
      </c>
    </row>
    <row r="41" spans="1:10" x14ac:dyDescent="0.3">
      <c r="A41" s="12" t="str">
        <f>"Effective tax rate: "&amp;TEXT(Assumptions!F10,"0.0%")&amp;" falling/settling at "&amp;TEXT(Assumptions!J10,"0.0%")</f>
        <v>Effective tax rate: 27.0% falling/settling at 26.0%</v>
      </c>
    </row>
    <row r="42" spans="1:10" x14ac:dyDescent="0.3">
      <c r="A42" s="12" t="str">
        <f>"Capital returns: "&amp;TEXT(Assumptions!F18,"0%")&amp;" dividend payout plus EUR "&amp;TEXT(Assumptions!F19,"#,##0")&amp;"m annual buybacks; gross debt held flat"</f>
        <v>Capital returns: 78% dividend payout plus EUR 1,500m annual buybacks; gross debt held flat</v>
      </c>
    </row>
    <row r="43" spans="1:10" x14ac:dyDescent="0.3">
      <c r="A43" s="12" t="str">
        <f>"Discounting: WACC "&amp;TEXT(DCF!C19,"0.0%")&amp;" (beta "&amp;TEXT(DCF!C11,"0.00")&amp;"), terminal growth "&amp;TEXT(DCF!C20,"0.0%")</f>
        <v>Discounting: WACC 6.7% (beta 0.80), terminal growth 2.0%</v>
      </c>
    </row>
    <row r="45" spans="1:10" x14ac:dyDescent="0.3">
      <c r="A45" s="21" t="s">
        <v>82</v>
      </c>
      <c r="B45" s="3"/>
      <c r="C45" s="3"/>
      <c r="D45" s="3"/>
      <c r="E45" s="3"/>
      <c r="F45" s="3"/>
      <c r="G45" s="3"/>
      <c r="H45" s="3"/>
      <c r="I45" s="3"/>
      <c r="J45" s="3"/>
    </row>
    <row r="46" spans="1:10" x14ac:dyDescent="0.3">
      <c r="A46" s="12" t="s">
        <v>83</v>
      </c>
    </row>
    <row r="47" spans="1:10" x14ac:dyDescent="0.3">
      <c r="A47" s="12" t="s">
        <v>84</v>
      </c>
    </row>
    <row r="48" spans="1:10" x14ac:dyDescent="0.3">
      <c r="A48" s="12" t="s">
        <v>85</v>
      </c>
    </row>
    <row r="49" spans="1:10" x14ac:dyDescent="0.3">
      <c r="A49" s="12" t="s">
        <v>86</v>
      </c>
    </row>
    <row r="50" spans="1:10" x14ac:dyDescent="0.3">
      <c r="A50" s="12" t="s">
        <v>87</v>
      </c>
    </row>
    <row r="52" spans="1:10" x14ac:dyDescent="0.3">
      <c r="A52" s="21" t="s">
        <v>88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 x14ac:dyDescent="0.3">
      <c r="A53" s="12" t="s">
        <v>89</v>
      </c>
    </row>
    <row r="54" spans="1:10" x14ac:dyDescent="0.3">
      <c r="A54" s="12" t="s">
        <v>90</v>
      </c>
    </row>
    <row r="55" spans="1:10" x14ac:dyDescent="0.3">
      <c r="A55" s="12" t="s">
        <v>91</v>
      </c>
    </row>
  </sheetData>
  <pageMargins left="0.75" right="0.75" top="1" bottom="1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topLeftCell="A22" zoomScale="109" zoomScaleNormal="109" workbookViewId="0"/>
  </sheetViews>
  <sheetFormatPr defaultColWidth="8.6640625" defaultRowHeight="14.4" x14ac:dyDescent="0.3"/>
  <cols>
    <col min="1" max="1" width="25.6640625" customWidth="1"/>
    <col min="2" max="2" width="9.33203125" customWidth="1"/>
    <col min="3" max="3" width="11.109375" customWidth="1"/>
    <col min="4" max="5" width="10.109375" customWidth="1"/>
  </cols>
  <sheetData>
    <row r="1" spans="1:10" ht="14.25" customHeight="1" x14ac:dyDescent="0.3">
      <c r="A1" s="37" t="s">
        <v>92</v>
      </c>
    </row>
    <row r="2" spans="1:10" ht="42.75" customHeight="1" x14ac:dyDescent="0.3">
      <c r="A2" s="38" t="s">
        <v>93</v>
      </c>
    </row>
    <row r="3" spans="1:10" ht="28.5" customHeight="1" x14ac:dyDescent="0.3">
      <c r="A3" s="38" t="s">
        <v>94</v>
      </c>
    </row>
    <row r="4" spans="1:10" ht="14.25" customHeight="1" x14ac:dyDescent="0.3">
      <c r="A4" s="38"/>
    </row>
    <row r="5" spans="1:10" ht="42.75" customHeight="1" x14ac:dyDescent="0.3">
      <c r="A5" s="39" t="s">
        <v>95</v>
      </c>
      <c r="B5" t="s">
        <v>96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70</v>
      </c>
      <c r="J5" t="s">
        <v>71</v>
      </c>
    </row>
    <row r="6" spans="1:10" ht="28.5" customHeight="1" x14ac:dyDescent="0.3">
      <c r="A6" s="40" t="s">
        <v>97</v>
      </c>
      <c r="B6" s="41" t="s">
        <v>98</v>
      </c>
      <c r="C6" s="42">
        <v>51680</v>
      </c>
      <c r="D6" s="42">
        <v>52479</v>
      </c>
      <c r="E6" s="42">
        <v>50503</v>
      </c>
      <c r="F6" s="43">
        <f>E6*(1+Assumptions!F6)</f>
        <v>51260.544999999998</v>
      </c>
      <c r="G6" s="43">
        <f>F6*(1+Assumptions!G6)</f>
        <v>53054.664074999993</v>
      </c>
      <c r="H6" s="43">
        <f>G6*(1+Assumptions!H6)</f>
        <v>55176.850637999996</v>
      </c>
      <c r="I6" s="43">
        <f>H6*(1+Assumptions!I6)</f>
        <v>57383.924663519996</v>
      </c>
      <c r="J6" s="43">
        <f>I6*(1+Assumptions!J6)</f>
        <v>59392.362026743191</v>
      </c>
    </row>
    <row r="7" spans="1:10" ht="28.5" customHeight="1" x14ac:dyDescent="0.3">
      <c r="A7" s="44" t="s">
        <v>99</v>
      </c>
      <c r="B7" s="41" t="s">
        <v>98</v>
      </c>
      <c r="C7" s="42">
        <v>8998</v>
      </c>
      <c r="D7" s="42">
        <v>8829</v>
      </c>
      <c r="E7" s="42">
        <v>9037</v>
      </c>
      <c r="F7" s="45">
        <f>F6*Assumptions!F7</f>
        <v>9431.9402799999989</v>
      </c>
      <c r="G7" s="45">
        <f>G6*Assumptions!G7</f>
        <v>9921.2221820249979</v>
      </c>
      <c r="H7" s="45">
        <f>H6*Assumptions!H7</f>
        <v>10483.601621219999</v>
      </c>
      <c r="I7" s="45">
        <f>I6*Assumptions!I7</f>
        <v>11017.71353539584</v>
      </c>
      <c r="J7" s="45">
        <f>J6*Assumptions!J7</f>
        <v>11522.118233188179</v>
      </c>
    </row>
    <row r="8" spans="1:10" ht="14.25" customHeight="1" x14ac:dyDescent="0.3">
      <c r="A8" s="38" t="s">
        <v>100</v>
      </c>
      <c r="B8" t="s">
        <v>98</v>
      </c>
      <c r="C8" s="46">
        <v>-409</v>
      </c>
      <c r="D8" s="46">
        <v>-520</v>
      </c>
      <c r="E8" s="46">
        <v>-503</v>
      </c>
      <c r="F8" s="45">
        <f>-Assumptions!F8*(E37+E40-E31)</f>
        <v>-486.74</v>
      </c>
      <c r="G8" s="45">
        <f>-Assumptions!G8*(F37+F40-F31)</f>
        <v>-492.7577295310856</v>
      </c>
      <c r="H8" s="45">
        <f>-Assumptions!H8*(G37+G40-G31)</f>
        <v>-494.90796376381638</v>
      </c>
      <c r="I8" s="45">
        <f>-Assumptions!I8*(H37+H40-H31)</f>
        <v>-494.42688675917657</v>
      </c>
      <c r="J8" s="45">
        <f>-Assumptions!J8*(I37+I40-I31)</f>
        <v>-492.33615143898834</v>
      </c>
    </row>
    <row r="9" spans="1:10" ht="42" customHeight="1" x14ac:dyDescent="0.3">
      <c r="A9" s="38" t="s">
        <v>101</v>
      </c>
      <c r="B9" t="s">
        <v>98</v>
      </c>
      <c r="C9" s="46">
        <v>37</v>
      </c>
      <c r="D9" s="46">
        <v>62</v>
      </c>
      <c r="E9" s="46">
        <v>159</v>
      </c>
      <c r="F9" s="45">
        <f>Assumptions!F9</f>
        <v>100</v>
      </c>
      <c r="G9" s="45">
        <f>Assumptions!G9</f>
        <v>100</v>
      </c>
      <c r="H9" s="45">
        <f>Assumptions!H9</f>
        <v>100</v>
      </c>
      <c r="I9" s="45">
        <f>Assumptions!I9</f>
        <v>100</v>
      </c>
      <c r="J9" s="45">
        <f>Assumptions!J9</f>
        <v>100</v>
      </c>
    </row>
    <row r="10" spans="1:10" ht="28.5" customHeight="1" x14ac:dyDescent="0.3">
      <c r="A10" s="44" t="s">
        <v>102</v>
      </c>
      <c r="B10" s="41" t="s">
        <v>98</v>
      </c>
      <c r="C10" s="47">
        <f t="shared" ref="C10:J10" si="0">C7+C8+C9</f>
        <v>8626</v>
      </c>
      <c r="D10" s="47">
        <f t="shared" si="0"/>
        <v>8371</v>
      </c>
      <c r="E10" s="47">
        <f t="shared" si="0"/>
        <v>8693</v>
      </c>
      <c r="F10" s="45">
        <f t="shared" si="0"/>
        <v>9045.2002799999991</v>
      </c>
      <c r="G10" s="45">
        <f t="shared" si="0"/>
        <v>9528.4644524939122</v>
      </c>
      <c r="H10" s="45">
        <f t="shared" si="0"/>
        <v>10088.693657456182</v>
      </c>
      <c r="I10" s="45">
        <f t="shared" si="0"/>
        <v>10623.286648636664</v>
      </c>
      <c r="J10" s="45">
        <f t="shared" si="0"/>
        <v>11129.78208174919</v>
      </c>
    </row>
    <row r="11" spans="1:10" ht="14.25" customHeight="1" x14ac:dyDescent="0.3">
      <c r="A11" s="38" t="s">
        <v>103</v>
      </c>
      <c r="B11" t="s">
        <v>98</v>
      </c>
      <c r="C11" s="46">
        <v>-1990</v>
      </c>
      <c r="D11" s="46">
        <v>-2332</v>
      </c>
      <c r="E11" s="46">
        <v>-2481</v>
      </c>
      <c r="F11" s="45">
        <f>-Assumptions!F10*F10</f>
        <v>-2442.2040756000001</v>
      </c>
      <c r="G11" s="45">
        <f>-Assumptions!G10*G10</f>
        <v>-2525.0430799108867</v>
      </c>
      <c r="H11" s="45">
        <f>-Assumptions!H10*H10</f>
        <v>-2623.0603509386074</v>
      </c>
      <c r="I11" s="45">
        <f>-Assumptions!I10*I10</f>
        <v>-2762.0545286455326</v>
      </c>
      <c r="J11" s="45">
        <f>-Assumptions!J10*J10</f>
        <v>-2893.7433412547894</v>
      </c>
    </row>
    <row r="12" spans="1:10" ht="43.5" customHeight="1" x14ac:dyDescent="0.3">
      <c r="A12" s="48" t="s">
        <v>104</v>
      </c>
      <c r="B12" s="49" t="s">
        <v>98</v>
      </c>
      <c r="C12" s="50">
        <f t="shared" ref="C12:J12" si="1">C10+C11</f>
        <v>6636</v>
      </c>
      <c r="D12" s="50">
        <f t="shared" si="1"/>
        <v>6039</v>
      </c>
      <c r="E12" s="50">
        <f t="shared" si="1"/>
        <v>6212</v>
      </c>
      <c r="F12" s="45">
        <f t="shared" si="1"/>
        <v>6602.9962043999985</v>
      </c>
      <c r="G12" s="45">
        <f t="shared" si="1"/>
        <v>7003.421372583025</v>
      </c>
      <c r="H12" s="45">
        <f t="shared" si="1"/>
        <v>7465.633306517575</v>
      </c>
      <c r="I12" s="45">
        <f t="shared" si="1"/>
        <v>7861.2321199911312</v>
      </c>
      <c r="J12" s="45">
        <f t="shared" si="1"/>
        <v>8236.0387404944013</v>
      </c>
    </row>
    <row r="13" spans="1:10" ht="15" customHeight="1" x14ac:dyDescent="0.3"/>
    <row r="14" spans="1:10" ht="14.25" customHeight="1" x14ac:dyDescent="0.3">
      <c r="A14" s="14" t="s">
        <v>105</v>
      </c>
    </row>
    <row r="15" spans="1:10" ht="28.5" customHeight="1" x14ac:dyDescent="0.35">
      <c r="A15" s="38" t="s">
        <v>106</v>
      </c>
      <c r="B15" s="51" t="s">
        <v>107</v>
      </c>
      <c r="C15" s="52" t="s">
        <v>74</v>
      </c>
      <c r="D15" s="53">
        <f t="shared" ref="D15:J15" si="2">(D6-C6)/C6</f>
        <v>1.5460526315789473E-2</v>
      </c>
      <c r="E15" s="53">
        <f t="shared" si="2"/>
        <v>-3.7653156500695513E-2</v>
      </c>
      <c r="F15" s="54">
        <f t="shared" si="2"/>
        <v>1.4999999999999965E-2</v>
      </c>
      <c r="G15" s="54">
        <f t="shared" si="2"/>
        <v>3.4999999999999906E-2</v>
      </c>
      <c r="H15" s="54">
        <f t="shared" si="2"/>
        <v>4.0000000000000063E-2</v>
      </c>
      <c r="I15" s="54">
        <f t="shared" si="2"/>
        <v>0.04</v>
      </c>
      <c r="J15" s="54">
        <f t="shared" si="2"/>
        <v>3.4999999999999906E-2</v>
      </c>
    </row>
    <row r="16" spans="1:10" ht="28.5" customHeight="1" x14ac:dyDescent="0.3">
      <c r="A16" s="38" t="s">
        <v>108</v>
      </c>
      <c r="B16" t="s">
        <v>107</v>
      </c>
      <c r="C16" s="53">
        <f t="shared" ref="C16:J16" si="3">C7/C6</f>
        <v>0.17410990712074303</v>
      </c>
      <c r="D16" s="53">
        <f t="shared" si="3"/>
        <v>0.168238724061053</v>
      </c>
      <c r="E16" s="53">
        <f t="shared" si="3"/>
        <v>0.17893986495851733</v>
      </c>
      <c r="F16" s="54">
        <f t="shared" si="3"/>
        <v>0.184</v>
      </c>
      <c r="G16" s="54">
        <f t="shared" si="3"/>
        <v>0.18699999999999997</v>
      </c>
      <c r="H16" s="54">
        <f t="shared" si="3"/>
        <v>0.19</v>
      </c>
      <c r="I16" s="54">
        <f t="shared" si="3"/>
        <v>0.192</v>
      </c>
      <c r="J16" s="54">
        <f t="shared" si="3"/>
        <v>0.19400000000000001</v>
      </c>
    </row>
    <row r="17" spans="1:10" ht="28.5" customHeight="1" x14ac:dyDescent="0.3">
      <c r="A17" s="38" t="s">
        <v>109</v>
      </c>
      <c r="B17" t="s">
        <v>107</v>
      </c>
      <c r="C17" s="53">
        <f t="shared" ref="C17:J17" si="4">ABS(C11)/C10</f>
        <v>0.2306978900996986</v>
      </c>
      <c r="D17" s="53">
        <f t="shared" si="4"/>
        <v>0.27858081471747698</v>
      </c>
      <c r="E17" s="53">
        <f t="shared" si="4"/>
        <v>0.28540204762452548</v>
      </c>
      <c r="F17" s="54">
        <f t="shared" si="4"/>
        <v>0.27</v>
      </c>
      <c r="G17" s="54">
        <f t="shared" si="4"/>
        <v>0.26500000000000001</v>
      </c>
      <c r="H17" s="54">
        <f t="shared" si="4"/>
        <v>0.26</v>
      </c>
      <c r="I17" s="54">
        <f t="shared" si="4"/>
        <v>0.26</v>
      </c>
      <c r="J17" s="54">
        <f t="shared" si="4"/>
        <v>0.26</v>
      </c>
    </row>
    <row r="18" spans="1:10" ht="14.25" customHeight="1" x14ac:dyDescent="0.3">
      <c r="A18" s="38"/>
      <c r="C18" s="53"/>
      <c r="D18" s="53"/>
      <c r="E18" s="53"/>
      <c r="F18" s="54"/>
      <c r="G18" s="54"/>
      <c r="H18" s="54"/>
      <c r="I18" s="54"/>
      <c r="J18" s="54"/>
    </row>
    <row r="22" spans="1:10" ht="28.5" customHeight="1" x14ac:dyDescent="0.3">
      <c r="A22" s="55" t="s">
        <v>110</v>
      </c>
      <c r="B22" s="56" t="s">
        <v>96</v>
      </c>
      <c r="C22" s="56" t="s">
        <v>64</v>
      </c>
      <c r="D22" s="56" t="s">
        <v>65</v>
      </c>
      <c r="E22" s="56" t="s">
        <v>66</v>
      </c>
      <c r="F22" s="56" t="s">
        <v>67</v>
      </c>
      <c r="G22" s="56" t="s">
        <v>68</v>
      </c>
      <c r="H22" s="56" t="s">
        <v>69</v>
      </c>
      <c r="I22" s="56" t="s">
        <v>70</v>
      </c>
      <c r="J22" s="56" t="s">
        <v>71</v>
      </c>
    </row>
    <row r="23" spans="1:10" ht="14.25" customHeight="1" x14ac:dyDescent="0.3">
      <c r="A23" s="2" t="s">
        <v>111</v>
      </c>
      <c r="B23" s="2"/>
      <c r="C23" s="2"/>
      <c r="D23" s="2"/>
      <c r="E23" s="2"/>
      <c r="F23" s="2"/>
      <c r="G23" s="2"/>
      <c r="H23" s="2"/>
      <c r="I23" s="2"/>
      <c r="J23" s="2"/>
    </row>
    <row r="24" spans="1:10" ht="14.25" customHeight="1" x14ac:dyDescent="0.3">
      <c r="A24" t="s">
        <v>112</v>
      </c>
      <c r="B24" t="s">
        <v>98</v>
      </c>
      <c r="C24" s="46">
        <v>10707</v>
      </c>
      <c r="D24" s="57">
        <v>11669</v>
      </c>
      <c r="E24" s="46">
        <v>8992</v>
      </c>
      <c r="F24" s="45">
        <f>E24-'Cash flow'!F16-'Cash flow'!F8</f>
        <v>9361.0759239999988</v>
      </c>
      <c r="G24" s="45">
        <f>F24-'Cash flow'!G16-'Cash flow'!G8</f>
        <v>9743.0695053399995</v>
      </c>
      <c r="H24" s="45">
        <f>G24-'Cash flow'!H16-'Cash flow'!H8</f>
        <v>10140.342829933599</v>
      </c>
      <c r="I24" s="45">
        <f>H24-'Cash flow'!I16-'Cash flow'!I8</f>
        <v>10553.507087510943</v>
      </c>
      <c r="J24" s="45">
        <f>I24-'Cash flow'!J16-'Cash flow'!J8</f>
        <v>10981.132094103496</v>
      </c>
    </row>
    <row r="25" spans="1:10" ht="30" customHeight="1" x14ac:dyDescent="0.3">
      <c r="A25" s="58" t="s">
        <v>113</v>
      </c>
      <c r="B25" t="s">
        <v>98</v>
      </c>
      <c r="C25" s="46">
        <f>21109+18357</f>
        <v>39466</v>
      </c>
      <c r="D25" s="57">
        <f>22311+18590</f>
        <v>40901</v>
      </c>
      <c r="E25" s="46">
        <f>SUM(17709,17055)</f>
        <v>34764</v>
      </c>
      <c r="F25" s="45">
        <f>E25-'Cash flow'!F17-'Cash flow'!F9</f>
        <v>34676.857073499996</v>
      </c>
      <c r="G25" s="45">
        <f>F25-'Cash flow'!G17-'Cash flow'!G9</f>
        <v>34586.664144572496</v>
      </c>
      <c r="H25" s="45">
        <f>G25-'Cash flow'!H17-'Cash flow'!H9</f>
        <v>34492.863498487903</v>
      </c>
      <c r="I25" s="45">
        <f>H25-'Cash flow'!I17-'Cash flow'!I9</f>
        <v>34395.310826559922</v>
      </c>
      <c r="J25" s="45">
        <f>I25-'Cash flow'!J17-'Cash flow'!J9</f>
        <v>34294.343811114457</v>
      </c>
    </row>
    <row r="26" spans="1:10" ht="30" customHeight="1" x14ac:dyDescent="0.3">
      <c r="A26" s="58" t="s">
        <v>114</v>
      </c>
      <c r="B26" s="56" t="s">
        <v>98</v>
      </c>
      <c r="C26" s="46">
        <f>SUM(1113,1386,911,3781)</f>
        <v>7191</v>
      </c>
      <c r="D26" s="57">
        <f>SUM(4164,1280,1571,971)</f>
        <v>7986</v>
      </c>
      <c r="E26" s="46">
        <f>SUM(4462,1146,3065,976)</f>
        <v>9649</v>
      </c>
      <c r="F26" s="45">
        <f>E26*(1+Assumptions!F28)</f>
        <v>9649</v>
      </c>
      <c r="G26" s="45">
        <f>F26*(1+Assumptions!G28)</f>
        <v>9649</v>
      </c>
      <c r="H26" s="45">
        <f>G26*(1+Assumptions!H28)</f>
        <v>9649</v>
      </c>
      <c r="I26" s="45">
        <f>H26*(1+Assumptions!I28)</f>
        <v>9649</v>
      </c>
      <c r="J26" s="45">
        <f>I26*(1+Assumptions!J28)</f>
        <v>9649</v>
      </c>
    </row>
    <row r="27" spans="1:10" ht="24" customHeight="1" x14ac:dyDescent="0.3">
      <c r="A27" s="59" t="s">
        <v>115</v>
      </c>
      <c r="B27" t="s">
        <v>98</v>
      </c>
      <c r="C27" s="60">
        <f t="shared" ref="C27:J27" si="5">SUM(C24:C26)</f>
        <v>57364</v>
      </c>
      <c r="D27" s="60">
        <f t="shared" si="5"/>
        <v>60556</v>
      </c>
      <c r="E27" s="60">
        <f t="shared" si="5"/>
        <v>53405</v>
      </c>
      <c r="F27" s="60">
        <f t="shared" si="5"/>
        <v>53686.932997499993</v>
      </c>
      <c r="G27" s="60">
        <f t="shared" si="5"/>
        <v>53978.733649912494</v>
      </c>
      <c r="H27" s="60">
        <f t="shared" si="5"/>
        <v>54282.206328421504</v>
      </c>
      <c r="I27" s="60">
        <f t="shared" si="5"/>
        <v>54597.817914070867</v>
      </c>
      <c r="J27" s="60">
        <f t="shared" si="5"/>
        <v>54924.475905217951</v>
      </c>
    </row>
    <row r="28" spans="1:10" ht="14.25" customHeight="1" x14ac:dyDescent="0.3">
      <c r="A28" s="2" t="s">
        <v>116</v>
      </c>
      <c r="B28" s="2"/>
      <c r="C28" s="2"/>
      <c r="D28" s="2"/>
      <c r="E28" s="2"/>
      <c r="F28" s="2"/>
      <c r="G28" s="2"/>
      <c r="H28" s="2"/>
      <c r="I28" s="2"/>
      <c r="J28" s="2"/>
    </row>
    <row r="29" spans="1:10" ht="14.25" customHeight="1" x14ac:dyDescent="0.3">
      <c r="A29" s="38" t="s">
        <v>117</v>
      </c>
      <c r="B29" t="s">
        <v>98</v>
      </c>
      <c r="C29" s="46">
        <v>5119</v>
      </c>
      <c r="D29" s="57">
        <v>5177</v>
      </c>
      <c r="E29" s="57">
        <v>4043</v>
      </c>
      <c r="F29" s="45">
        <f>F6*Assumptions!F24</f>
        <v>4100.8436000000002</v>
      </c>
      <c r="G29" s="45">
        <f>G6*Assumptions!G24</f>
        <v>4244.3731259999995</v>
      </c>
      <c r="H29" s="45">
        <f>H6*Assumptions!H24</f>
        <v>4414.1480510399997</v>
      </c>
      <c r="I29" s="45">
        <f>I6*Assumptions!I24</f>
        <v>4590.7139730815998</v>
      </c>
      <c r="J29" s="45">
        <f>J6*Assumptions!J24</f>
        <v>4751.3889621394555</v>
      </c>
    </row>
    <row r="30" spans="1:10" ht="14.25" customHeight="1" x14ac:dyDescent="0.3">
      <c r="A30" s="38" t="s">
        <v>118</v>
      </c>
      <c r="B30" t="s">
        <v>98</v>
      </c>
      <c r="C30" s="46">
        <v>5775</v>
      </c>
      <c r="D30" s="57">
        <v>6011</v>
      </c>
      <c r="E30" s="57">
        <v>7346</v>
      </c>
      <c r="F30" s="45">
        <f>F6*Assumptions!F25</f>
        <v>7432.7790249999989</v>
      </c>
      <c r="G30" s="45">
        <f>G6*Assumptions!G25</f>
        <v>7692.9262908749988</v>
      </c>
      <c r="H30" s="45">
        <f>H6*Assumptions!H25</f>
        <v>8000.6433425099985</v>
      </c>
      <c r="I30" s="45">
        <f>I6*Assumptions!I25</f>
        <v>8320.669076210399</v>
      </c>
      <c r="J30" s="45">
        <f>J6*Assumptions!J25</f>
        <v>8611.8924938777618</v>
      </c>
    </row>
    <row r="31" spans="1:10" ht="14.25" customHeight="1" x14ac:dyDescent="0.3">
      <c r="A31" s="38" t="s">
        <v>119</v>
      </c>
      <c r="B31" t="s">
        <v>98</v>
      </c>
      <c r="C31" s="46">
        <v>4159</v>
      </c>
      <c r="D31" s="57">
        <v>6136</v>
      </c>
      <c r="E31" s="57">
        <v>3941</v>
      </c>
      <c r="F31" s="61">
        <f>'Cash flow'!F29</f>
        <v>3640.1135234457206</v>
      </c>
      <c r="G31" s="61">
        <f>'Cash flow'!G29</f>
        <v>3532.6018118091815</v>
      </c>
      <c r="H31" s="61">
        <f>'Cash flow'!H29</f>
        <v>3556.6556620411711</v>
      </c>
      <c r="I31" s="61">
        <f>'Cash flow'!I29</f>
        <v>3661.1924280505837</v>
      </c>
      <c r="J31" s="61">
        <f>'Cash flow'!J29</f>
        <v>3799.7399519381679</v>
      </c>
    </row>
    <row r="32" spans="1:10" ht="14.25" customHeight="1" x14ac:dyDescent="0.3">
      <c r="A32" s="38" t="s">
        <v>120</v>
      </c>
      <c r="B32" s="56" t="s">
        <v>98</v>
      </c>
      <c r="C32" s="46">
        <f>SUM(427,1731,691)</f>
        <v>2849</v>
      </c>
      <c r="D32" s="57">
        <f>SUM(373,1330,167)</f>
        <v>1870</v>
      </c>
      <c r="E32" s="57">
        <f>SUM(329,1121,286)</f>
        <v>1736</v>
      </c>
      <c r="F32" s="45">
        <f>E32*(1+Assumptions!F26)</f>
        <v>1736</v>
      </c>
      <c r="G32" s="45">
        <f>F32*(1+Assumptions!G26)</f>
        <v>1736</v>
      </c>
      <c r="H32" s="45">
        <f>G32*(1+Assumptions!H26)</f>
        <v>1736</v>
      </c>
      <c r="I32" s="62">
        <f>H32*(1+Assumptions!I26)</f>
        <v>1736</v>
      </c>
      <c r="J32" s="62">
        <f>I32*(1+Assumptions!J26)</f>
        <v>1736</v>
      </c>
    </row>
    <row r="33" spans="1:10" ht="27" customHeight="1" x14ac:dyDescent="0.3">
      <c r="A33" s="44" t="s">
        <v>121</v>
      </c>
      <c r="B33" s="63" t="s">
        <v>98</v>
      </c>
      <c r="C33" s="43">
        <f t="shared" ref="C33:J33" si="6">SUM(C29:C32)</f>
        <v>17902</v>
      </c>
      <c r="D33" s="43">
        <f t="shared" si="6"/>
        <v>19194</v>
      </c>
      <c r="E33" s="43">
        <f t="shared" si="6"/>
        <v>17066</v>
      </c>
      <c r="F33" s="43">
        <f t="shared" si="6"/>
        <v>16909.736148445721</v>
      </c>
      <c r="G33" s="43">
        <f t="shared" si="6"/>
        <v>17205.901228684179</v>
      </c>
      <c r="H33" s="43">
        <f t="shared" si="6"/>
        <v>17707.447055591168</v>
      </c>
      <c r="I33" s="43">
        <f t="shared" si="6"/>
        <v>18308.575477342583</v>
      </c>
      <c r="J33" s="43">
        <f t="shared" si="6"/>
        <v>18899.021407955384</v>
      </c>
    </row>
    <row r="34" spans="1:10" ht="29.25" customHeight="1" x14ac:dyDescent="0.3">
      <c r="A34" s="44" t="s">
        <v>122</v>
      </c>
      <c r="B34" s="56" t="s">
        <v>98</v>
      </c>
      <c r="C34" s="43">
        <f t="shared" ref="C34:J34" si="7">SUM(C27,C33)</f>
        <v>75266</v>
      </c>
      <c r="D34" s="43">
        <f t="shared" si="7"/>
        <v>79750</v>
      </c>
      <c r="E34" s="43">
        <f t="shared" si="7"/>
        <v>70471</v>
      </c>
      <c r="F34" s="43">
        <f t="shared" si="7"/>
        <v>70596.669145945722</v>
      </c>
      <c r="G34" s="43">
        <f t="shared" si="7"/>
        <v>71184.634878596669</v>
      </c>
      <c r="H34" s="60">
        <f t="shared" si="7"/>
        <v>71989.653384012665</v>
      </c>
      <c r="I34" s="60">
        <f t="shared" si="7"/>
        <v>72906.393391413454</v>
      </c>
      <c r="J34" s="60">
        <f t="shared" si="7"/>
        <v>73823.497313173342</v>
      </c>
    </row>
    <row r="35" spans="1:10" ht="14.25" customHeight="1" x14ac:dyDescent="0.3">
      <c r="A35" s="2" t="s">
        <v>123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28.5" customHeight="1" x14ac:dyDescent="0.3">
      <c r="A36" s="38" t="s">
        <v>124</v>
      </c>
      <c r="B36" t="s">
        <v>98</v>
      </c>
      <c r="C36" s="46">
        <f>SUM(16857,851, 537, 175)</f>
        <v>18420</v>
      </c>
      <c r="D36" s="57">
        <f>SUM(16690,678,831,48)</f>
        <v>18247</v>
      </c>
      <c r="E36" s="57">
        <f>SUM(16939,1439,589,113)</f>
        <v>19080</v>
      </c>
      <c r="F36" s="45">
        <f>F6*Assumptions!F27</f>
        <v>19376.486010000001</v>
      </c>
      <c r="G36" s="45">
        <f>G6*Assumptions!G27</f>
        <v>20054.663020349999</v>
      </c>
      <c r="H36" s="45">
        <f>H6*Assumptions!H27</f>
        <v>20856.849541164</v>
      </c>
      <c r="I36" s="45">
        <f>I6*Assumptions!I27</f>
        <v>21691.123522810558</v>
      </c>
      <c r="J36" s="45">
        <f>J6*Assumptions!J27</f>
        <v>22450.312846108925</v>
      </c>
    </row>
    <row r="37" spans="1:10" ht="28.5" customHeight="1" x14ac:dyDescent="0.3">
      <c r="A37" s="38" t="s">
        <v>125</v>
      </c>
      <c r="B37" s="56" t="s">
        <v>98</v>
      </c>
      <c r="C37" s="46">
        <v>5087</v>
      </c>
      <c r="D37" s="57">
        <v>6987</v>
      </c>
      <c r="E37" s="57">
        <v>2582</v>
      </c>
      <c r="F37" s="45">
        <f>E37</f>
        <v>2582</v>
      </c>
      <c r="G37" s="45">
        <f>F37</f>
        <v>2582</v>
      </c>
      <c r="H37" s="45">
        <f>G37</f>
        <v>2582</v>
      </c>
      <c r="I37" s="62">
        <f>H37</f>
        <v>2582</v>
      </c>
      <c r="J37" s="62">
        <f>I37</f>
        <v>2582</v>
      </c>
    </row>
    <row r="38" spans="1:10" ht="14.25" customHeight="1" x14ac:dyDescent="0.3">
      <c r="A38" s="64" t="s">
        <v>126</v>
      </c>
      <c r="B38" s="63" t="s">
        <v>98</v>
      </c>
      <c r="C38" s="60">
        <f t="shared" ref="C38:J38" si="8">SUM(C36:C37)</f>
        <v>23507</v>
      </c>
      <c r="D38" s="60">
        <f t="shared" si="8"/>
        <v>25234</v>
      </c>
      <c r="E38" s="60">
        <f t="shared" si="8"/>
        <v>21662</v>
      </c>
      <c r="F38" s="60">
        <f t="shared" si="8"/>
        <v>21958.486010000001</v>
      </c>
      <c r="G38" s="60">
        <f t="shared" si="8"/>
        <v>22636.663020349999</v>
      </c>
      <c r="H38" s="60">
        <f t="shared" si="8"/>
        <v>23438.849541164</v>
      </c>
      <c r="I38" s="60">
        <f t="shared" si="8"/>
        <v>24273.123522810558</v>
      </c>
      <c r="J38" s="60">
        <f t="shared" si="8"/>
        <v>25032.312846108925</v>
      </c>
    </row>
    <row r="39" spans="1:10" ht="14.25" customHeight="1" x14ac:dyDescent="0.3">
      <c r="A39" s="2" t="s">
        <v>127</v>
      </c>
      <c r="B39" s="2"/>
      <c r="C39" s="2"/>
      <c r="D39" s="2"/>
      <c r="E39" s="2"/>
      <c r="F39" s="2"/>
      <c r="G39" s="2"/>
      <c r="H39" s="2"/>
      <c r="I39" s="2"/>
      <c r="J39" s="2"/>
    </row>
    <row r="40" spans="1:10" ht="28.5" customHeight="1" x14ac:dyDescent="0.3">
      <c r="A40" s="38" t="s">
        <v>128</v>
      </c>
      <c r="B40" t="s">
        <v>98</v>
      </c>
      <c r="C40" s="46">
        <v>24535</v>
      </c>
      <c r="D40" s="57">
        <v>25066</v>
      </c>
      <c r="E40" s="57">
        <v>25696</v>
      </c>
      <c r="F40" s="45">
        <f>E40+'Cash flow'!F21</f>
        <v>25696</v>
      </c>
      <c r="G40" s="45">
        <f>F40+'Cash flow'!G21</f>
        <v>25696</v>
      </c>
      <c r="H40" s="45">
        <f>G40+'Cash flow'!H21</f>
        <v>25696</v>
      </c>
      <c r="I40" s="45">
        <f>H40+'Cash flow'!I21</f>
        <v>25696</v>
      </c>
      <c r="J40" s="45">
        <f>I40+'Cash flow'!J21</f>
        <v>25696</v>
      </c>
    </row>
    <row r="41" spans="1:10" ht="14.25" customHeight="1" x14ac:dyDescent="0.3">
      <c r="A41" s="38" t="s">
        <v>129</v>
      </c>
      <c r="B41" s="56" t="s">
        <v>98</v>
      </c>
      <c r="C41" s="46">
        <f>SUM(384,351,1029,563,3995,138)</f>
        <v>6460</v>
      </c>
      <c r="D41" s="57">
        <f>SUM(585,173,1021,571,4342,203)</f>
        <v>6895</v>
      </c>
      <c r="E41" s="57">
        <f>SUM(303,100,844,539,3603,137)</f>
        <v>5526</v>
      </c>
      <c r="F41" s="45">
        <f>E41*(1+Assumptions!F29)</f>
        <v>5526</v>
      </c>
      <c r="G41" s="45">
        <f>F41*(1+Assumptions!G29)</f>
        <v>5526</v>
      </c>
      <c r="H41" s="45">
        <f>G41*(1+Assumptions!H29)</f>
        <v>5526</v>
      </c>
      <c r="I41" s="62">
        <f>H41*(1+Assumptions!I29)</f>
        <v>5526</v>
      </c>
      <c r="J41" s="62">
        <f>I41*(1+Assumptions!J29)</f>
        <v>5526</v>
      </c>
    </row>
    <row r="42" spans="1:10" ht="28.5" customHeight="1" x14ac:dyDescent="0.3">
      <c r="A42" s="64" t="s">
        <v>130</v>
      </c>
      <c r="B42" s="56" t="s">
        <v>98</v>
      </c>
      <c r="C42" s="60">
        <f t="shared" ref="C42:J42" si="9">SUM(C40:C41)</f>
        <v>30995</v>
      </c>
      <c r="D42" s="60">
        <f t="shared" si="9"/>
        <v>31961</v>
      </c>
      <c r="E42" s="60">
        <f t="shared" si="9"/>
        <v>31222</v>
      </c>
      <c r="F42" s="60">
        <f t="shared" si="9"/>
        <v>31222</v>
      </c>
      <c r="G42" s="60">
        <f t="shared" si="9"/>
        <v>31222</v>
      </c>
      <c r="H42" s="60">
        <f t="shared" si="9"/>
        <v>31222</v>
      </c>
      <c r="I42" s="60">
        <f t="shared" si="9"/>
        <v>31222</v>
      </c>
      <c r="J42" s="60">
        <f t="shared" si="9"/>
        <v>31222</v>
      </c>
    </row>
    <row r="43" spans="1:10" ht="14.25" customHeight="1" x14ac:dyDescent="0.3">
      <c r="A43" s="64" t="s">
        <v>131</v>
      </c>
      <c r="B43" s="56" t="s">
        <v>98</v>
      </c>
      <c r="C43" s="60">
        <f t="shared" ref="C43:J43" si="10">SUM(C38,C42)</f>
        <v>54502</v>
      </c>
      <c r="D43" s="60">
        <f t="shared" si="10"/>
        <v>57195</v>
      </c>
      <c r="E43" s="60">
        <f t="shared" si="10"/>
        <v>52884</v>
      </c>
      <c r="F43" s="60">
        <f t="shared" si="10"/>
        <v>53180.486010000001</v>
      </c>
      <c r="G43" s="60">
        <f t="shared" si="10"/>
        <v>53858.663020349995</v>
      </c>
      <c r="H43" s="60">
        <f t="shared" si="10"/>
        <v>54660.849541164003</v>
      </c>
      <c r="I43" s="60">
        <f t="shared" si="10"/>
        <v>55495.123522810558</v>
      </c>
      <c r="J43" s="60">
        <f t="shared" si="10"/>
        <v>56254.312846108922</v>
      </c>
    </row>
    <row r="44" spans="1:10" ht="14.25" customHeight="1" x14ac:dyDescent="0.3">
      <c r="A44" s="1" t="s">
        <v>132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ht="28.5" customHeight="1" x14ac:dyDescent="0.3">
      <c r="A45" s="38" t="s">
        <v>133</v>
      </c>
      <c r="B45" t="s">
        <v>98</v>
      </c>
      <c r="C45" s="46">
        <f>(88+52844)-73364</f>
        <v>-20432</v>
      </c>
      <c r="D45" s="57">
        <f>(88+52844)-73364</f>
        <v>-20432</v>
      </c>
      <c r="E45" s="57">
        <f>(85+52844)-73364</f>
        <v>-20435</v>
      </c>
      <c r="F45" s="45">
        <f>E45</f>
        <v>-20435</v>
      </c>
      <c r="G45" s="45">
        <f>F45</f>
        <v>-20435</v>
      </c>
      <c r="H45" s="45">
        <f>G45</f>
        <v>-20435</v>
      </c>
      <c r="I45" s="45">
        <f>H45</f>
        <v>-20435</v>
      </c>
      <c r="J45" s="45">
        <f>I45</f>
        <v>-20435</v>
      </c>
    </row>
    <row r="46" spans="1:10" ht="14.25" customHeight="1" x14ac:dyDescent="0.3">
      <c r="A46" s="38" t="s">
        <v>134</v>
      </c>
      <c r="B46" t="s">
        <v>98</v>
      </c>
      <c r="C46" s="46">
        <f>47052 - 8518</f>
        <v>38534</v>
      </c>
      <c r="D46" s="57">
        <f>49721-9299</f>
        <v>40422</v>
      </c>
      <c r="E46" s="57">
        <f>44229-8264</f>
        <v>35965</v>
      </c>
      <c r="F46" s="45">
        <f>E46+'Cash flow'!F33+'Cash flow'!F22+'Cash flow'!F23</f>
        <v>35794.183135945714</v>
      </c>
      <c r="G46" s="45">
        <f>F46+'Cash flow'!G33+'Cash flow'!G22+'Cash flow'!G23</f>
        <v>35703.971858246681</v>
      </c>
      <c r="H46" s="45">
        <f>G46+'Cash flow'!H33+'Cash flow'!H22+'Cash flow'!H23</f>
        <v>35706.803842848676</v>
      </c>
      <c r="I46" s="45">
        <f>H46+'Cash flow'!I33+'Cash flow'!I22+'Cash flow'!I23</f>
        <v>35789.269868602889</v>
      </c>
      <c r="J46" s="45">
        <f>I46+'Cash flow'!J33+'Cash flow'!J22+'Cash flow'!J23</f>
        <v>35947.184467064413</v>
      </c>
    </row>
    <row r="47" spans="1:10" ht="14.25" customHeight="1" x14ac:dyDescent="0.3">
      <c r="A47" s="38" t="s">
        <v>135</v>
      </c>
      <c r="B47" s="56" t="s">
        <v>98</v>
      </c>
      <c r="C47" s="46">
        <v>2662</v>
      </c>
      <c r="D47" s="57">
        <v>2565</v>
      </c>
      <c r="E47" s="57">
        <v>2057</v>
      </c>
      <c r="F47" s="45">
        <f>E47+'Cash flow'!F32+'Cash flow'!F24</f>
        <v>2057</v>
      </c>
      <c r="G47" s="45">
        <f>F47+'Cash flow'!G32+'Cash flow'!G24</f>
        <v>2057</v>
      </c>
      <c r="H47" s="45">
        <f>G47+'Cash flow'!H32+'Cash flow'!H24</f>
        <v>2057</v>
      </c>
      <c r="I47" s="62">
        <f>H47+'Cash flow'!I32+'Cash flow'!I24</f>
        <v>2057</v>
      </c>
      <c r="J47" s="62">
        <f>I47+'Cash flow'!J32+'Cash flow'!J24</f>
        <v>2057</v>
      </c>
    </row>
    <row r="48" spans="1:10" ht="28.5" customHeight="1" x14ac:dyDescent="0.3">
      <c r="A48" s="64" t="s">
        <v>136</v>
      </c>
      <c r="B48" s="56" t="s">
        <v>98</v>
      </c>
      <c r="C48" s="60">
        <f t="shared" ref="C48:J48" si="11">SUM(C45:C47)</f>
        <v>20764</v>
      </c>
      <c r="D48" s="60">
        <f t="shared" si="11"/>
        <v>22555</v>
      </c>
      <c r="E48" s="60">
        <f t="shared" si="11"/>
        <v>17587</v>
      </c>
      <c r="F48" s="60">
        <f t="shared" si="11"/>
        <v>17416.183135945714</v>
      </c>
      <c r="G48" s="60">
        <f t="shared" si="11"/>
        <v>17325.971858246681</v>
      </c>
      <c r="H48" s="60">
        <f t="shared" si="11"/>
        <v>17328.803842848676</v>
      </c>
      <c r="I48" s="60">
        <f t="shared" si="11"/>
        <v>17411.269868602889</v>
      </c>
      <c r="J48" s="60">
        <f t="shared" si="11"/>
        <v>17569.184467064413</v>
      </c>
    </row>
    <row r="49" spans="1:10" ht="14.25" customHeight="1" x14ac:dyDescent="0.3">
      <c r="A49" s="64" t="s">
        <v>137</v>
      </c>
      <c r="B49" s="56" t="s">
        <v>98</v>
      </c>
      <c r="C49" s="60">
        <f t="shared" ref="C49:J49" si="12">SUM(C43,C48)</f>
        <v>75266</v>
      </c>
      <c r="D49" s="60">
        <f t="shared" si="12"/>
        <v>79750</v>
      </c>
      <c r="E49" s="60">
        <f t="shared" si="12"/>
        <v>70471</v>
      </c>
      <c r="F49" s="60">
        <f t="shared" si="12"/>
        <v>70596.669145945722</v>
      </c>
      <c r="G49" s="60">
        <f t="shared" si="12"/>
        <v>71184.634878596669</v>
      </c>
      <c r="H49" s="60">
        <f t="shared" si="12"/>
        <v>71989.653384012679</v>
      </c>
      <c r="I49" s="60">
        <f t="shared" si="12"/>
        <v>72906.39339141344</v>
      </c>
      <c r="J49" s="60">
        <f t="shared" si="12"/>
        <v>73823.497313173342</v>
      </c>
    </row>
    <row r="50" spans="1:10" ht="15" customHeight="1" x14ac:dyDescent="0.3">
      <c r="A50" s="48" t="s">
        <v>138</v>
      </c>
      <c r="B50" s="49" t="s">
        <v>98</v>
      </c>
      <c r="C50" s="65">
        <f t="shared" ref="C50:J50" si="13">C34-C49</f>
        <v>0</v>
      </c>
      <c r="D50" s="65">
        <f t="shared" si="13"/>
        <v>0</v>
      </c>
      <c r="E50" s="65">
        <f t="shared" si="13"/>
        <v>0</v>
      </c>
      <c r="F50" s="65">
        <f t="shared" si="13"/>
        <v>0</v>
      </c>
      <c r="G50" s="65">
        <f t="shared" si="13"/>
        <v>0</v>
      </c>
      <c r="H50" s="65">
        <f t="shared" si="13"/>
        <v>0</v>
      </c>
      <c r="I50" s="65">
        <f t="shared" si="13"/>
        <v>0</v>
      </c>
      <c r="J50" s="65">
        <f t="shared" si="13"/>
        <v>0</v>
      </c>
    </row>
    <row r="51" spans="1:10" ht="15" customHeight="1" x14ac:dyDescent="0.3"/>
    <row r="53" spans="1:10" ht="14.25" customHeight="1" x14ac:dyDescent="0.3">
      <c r="A53" s="14" t="s">
        <v>139</v>
      </c>
    </row>
    <row r="54" spans="1:10" ht="14.25" customHeight="1" x14ac:dyDescent="0.3">
      <c r="A54" s="66" t="s">
        <v>140</v>
      </c>
    </row>
    <row r="55" spans="1:10" ht="14.25" customHeight="1" x14ac:dyDescent="0.3">
      <c r="A55" s="66" t="s">
        <v>141</v>
      </c>
    </row>
    <row r="56" spans="1:10" ht="14.25" customHeight="1" x14ac:dyDescent="0.3">
      <c r="A56" s="66" t="s">
        <v>142</v>
      </c>
    </row>
    <row r="57" spans="1:10" ht="14.25" customHeight="1" x14ac:dyDescent="0.3">
      <c r="A57" s="66" t="s">
        <v>143</v>
      </c>
    </row>
    <row r="58" spans="1:10" ht="14.25" customHeight="1" x14ac:dyDescent="0.3">
      <c r="A58" s="66" t="s">
        <v>144</v>
      </c>
    </row>
    <row r="59" spans="1:10" ht="14.25" customHeight="1" x14ac:dyDescent="0.3">
      <c r="A59" s="66" t="s">
        <v>145</v>
      </c>
    </row>
    <row r="60" spans="1:10" ht="14.25" customHeight="1" x14ac:dyDescent="0.3">
      <c r="A60" s="66" t="s">
        <v>146</v>
      </c>
    </row>
    <row r="61" spans="1:10" ht="14.25" customHeight="1" x14ac:dyDescent="0.3">
      <c r="A61" s="66" t="s">
        <v>147</v>
      </c>
    </row>
  </sheetData>
  <mergeCells count="5">
    <mergeCell ref="A23:J23"/>
    <mergeCell ref="A28:J28"/>
    <mergeCell ref="A35:J35"/>
    <mergeCell ref="A39:J39"/>
    <mergeCell ref="A44:J4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58" customWidth="1"/>
    <col min="2" max="2" width="8" customWidth="1"/>
    <col min="3" max="10" width="11" customWidth="1"/>
    <col min="11" max="11" width="120" customWidth="1"/>
  </cols>
  <sheetData>
    <row r="1" spans="1:11" ht="15" customHeight="1" x14ac:dyDescent="0.3">
      <c r="A1" s="14" t="s">
        <v>92</v>
      </c>
    </row>
    <row r="2" spans="1:11" ht="15" customHeight="1" x14ac:dyDescent="0.3">
      <c r="A2" s="14" t="s">
        <v>148</v>
      </c>
    </row>
    <row r="3" spans="1:11" ht="15" customHeight="1" x14ac:dyDescent="0.3">
      <c r="A3" s="12" t="s">
        <v>149</v>
      </c>
    </row>
    <row r="4" spans="1:11" ht="15" customHeight="1" x14ac:dyDescent="0.3">
      <c r="A4" s="14" t="s">
        <v>150</v>
      </c>
      <c r="C4" s="67">
        <v>2</v>
      </c>
      <c r="D4" s="14" t="str">
        <f>CHOOSE(C4,"Worst","Base","Best")</f>
        <v>Base</v>
      </c>
    </row>
    <row r="5" spans="1:11" ht="15" customHeight="1" x14ac:dyDescent="0.3">
      <c r="A5" s="68" t="s">
        <v>151</v>
      </c>
      <c r="B5" s="69" t="s">
        <v>96</v>
      </c>
      <c r="C5" s="69" t="s">
        <v>64</v>
      </c>
      <c r="D5" s="69" t="s">
        <v>65</v>
      </c>
      <c r="E5" s="69" t="s">
        <v>66</v>
      </c>
      <c r="F5" s="69" t="s">
        <v>67</v>
      </c>
      <c r="G5" s="69" t="s">
        <v>68</v>
      </c>
      <c r="H5" s="69" t="s">
        <v>69</v>
      </c>
      <c r="I5" s="69" t="s">
        <v>70</v>
      </c>
      <c r="J5" s="69" t="s">
        <v>71</v>
      </c>
      <c r="K5" s="39" t="s">
        <v>152</v>
      </c>
    </row>
    <row r="6" spans="1:11" ht="15" customHeight="1" x14ac:dyDescent="0.3">
      <c r="A6" s="12" t="s">
        <v>153</v>
      </c>
      <c r="B6" s="12" t="s">
        <v>107</v>
      </c>
      <c r="C6" s="34" t="s">
        <v>74</v>
      </c>
      <c r="D6" s="35">
        <f>'Data Input'!D15</f>
        <v>1.5460526315789473E-2</v>
      </c>
      <c r="E6" s="35">
        <f>'Data Input'!E15</f>
        <v>-3.7653156500695513E-2</v>
      </c>
      <c r="F6" s="70">
        <f>CHOOSE($C$4,F35,F36,F37)</f>
        <v>1.4999999999999999E-2</v>
      </c>
      <c r="G6" s="70">
        <f>CHOOSE($C$4,G35,G36,G37)</f>
        <v>3.5000000000000003E-2</v>
      </c>
      <c r="H6" s="70">
        <f>CHOOSE($C$4,H35,H36,H37)</f>
        <v>0.04</v>
      </c>
      <c r="I6" s="70">
        <f>CHOOSE($C$4,I35,I36,I37)</f>
        <v>0.04</v>
      </c>
      <c r="J6" s="70">
        <f>CHOOSE($C$4,J35,J36,J37)</f>
        <v>3.5000000000000003E-2</v>
      </c>
      <c r="K6" s="71" t="s">
        <v>154</v>
      </c>
    </row>
    <row r="7" spans="1:11" ht="15" customHeight="1" x14ac:dyDescent="0.3">
      <c r="A7" s="12" t="s">
        <v>155</v>
      </c>
      <c r="B7" s="12" t="s">
        <v>107</v>
      </c>
      <c r="C7" s="35">
        <f>'Data Input'!C16</f>
        <v>0.17410990712074303</v>
      </c>
      <c r="D7" s="35">
        <f>'Data Input'!D16</f>
        <v>0.168238724061053</v>
      </c>
      <c r="E7" s="35">
        <f>'Data Input'!E16</f>
        <v>0.17893986495851733</v>
      </c>
      <c r="F7" s="70">
        <f>CHOOSE($C$4,F40,F41,F42)</f>
        <v>0.184</v>
      </c>
      <c r="G7" s="70">
        <f>CHOOSE($C$4,G40,G41,G42)</f>
        <v>0.187</v>
      </c>
      <c r="H7" s="70">
        <f>CHOOSE($C$4,H40,H41,H42)</f>
        <v>0.19</v>
      </c>
      <c r="I7" s="70">
        <f>CHOOSE($C$4,I40,I41,I42)</f>
        <v>0.192</v>
      </c>
      <c r="J7" s="70">
        <f>CHOOSE($C$4,J40,J41,J42)</f>
        <v>0.19400000000000001</v>
      </c>
      <c r="K7" s="71" t="s">
        <v>156</v>
      </c>
    </row>
    <row r="8" spans="1:11" ht="15" customHeight="1" x14ac:dyDescent="0.3">
      <c r="A8" s="12" t="s">
        <v>157</v>
      </c>
      <c r="B8" s="12" t="s">
        <v>107</v>
      </c>
      <c r="C8" s="72" t="s">
        <v>74</v>
      </c>
      <c r="D8" s="73">
        <f>-'Data Input'!D8/('Data Input'!C37+'Data Input'!C40-'Data Input'!C31)</f>
        <v>2.0421788477398579E-2</v>
      </c>
      <c r="E8" s="73">
        <f>-'Data Input'!E8/('Data Input'!D37+'Data Input'!D40-'Data Input'!D31)</f>
        <v>1.9408110506617279E-2</v>
      </c>
      <c r="F8" s="74">
        <v>0.02</v>
      </c>
      <c r="G8" s="74">
        <v>0.02</v>
      </c>
      <c r="H8" s="74">
        <v>0.02</v>
      </c>
      <c r="I8" s="74">
        <v>0.02</v>
      </c>
      <c r="J8" s="74">
        <v>0.02</v>
      </c>
      <c r="K8" s="71" t="s">
        <v>158</v>
      </c>
    </row>
    <row r="9" spans="1:11" ht="15" customHeight="1" x14ac:dyDescent="0.3">
      <c r="A9" s="12" t="s">
        <v>159</v>
      </c>
      <c r="B9" s="12" t="s">
        <v>160</v>
      </c>
      <c r="C9" s="33">
        <f>'Data Input'!C9</f>
        <v>37</v>
      </c>
      <c r="D9" s="33">
        <f>'Data Input'!D9</f>
        <v>62</v>
      </c>
      <c r="E9" s="33">
        <f>'Data Input'!E9</f>
        <v>159</v>
      </c>
      <c r="F9" s="75">
        <v>100</v>
      </c>
      <c r="G9" s="75">
        <v>100</v>
      </c>
      <c r="H9" s="75">
        <v>100</v>
      </c>
      <c r="I9" s="75">
        <v>100</v>
      </c>
      <c r="J9" s="75">
        <v>100</v>
      </c>
      <c r="K9" s="71" t="s">
        <v>161</v>
      </c>
    </row>
    <row r="10" spans="1:11" ht="15" customHeight="1" x14ac:dyDescent="0.3">
      <c r="A10" s="12" t="s">
        <v>162</v>
      </c>
      <c r="B10" s="12" t="s">
        <v>107</v>
      </c>
      <c r="C10" s="35">
        <f>'Data Input'!C17</f>
        <v>0.2306978900996986</v>
      </c>
      <c r="D10" s="35">
        <f>'Data Input'!D17</f>
        <v>0.27858081471747698</v>
      </c>
      <c r="E10" s="35">
        <f>'Data Input'!E17</f>
        <v>0.28540204762452548</v>
      </c>
      <c r="F10" s="70">
        <f>CHOOSE($C$4,F45,F46,F47)</f>
        <v>0.27</v>
      </c>
      <c r="G10" s="70">
        <f>CHOOSE($C$4,G45,G46,G47)</f>
        <v>0.26500000000000001</v>
      </c>
      <c r="H10" s="70">
        <f>CHOOSE($C$4,H45,H46,H47)</f>
        <v>0.26</v>
      </c>
      <c r="I10" s="70">
        <f>CHOOSE($C$4,I45,I46,I47)</f>
        <v>0.26</v>
      </c>
      <c r="J10" s="70">
        <f>CHOOSE($C$4,J45,J46,J47)</f>
        <v>0.26</v>
      </c>
      <c r="K10" s="71" t="s">
        <v>163</v>
      </c>
    </row>
    <row r="11" spans="1:11" ht="15" customHeight="1" x14ac:dyDescent="0.3">
      <c r="A11" s="12" t="s">
        <v>164</v>
      </c>
      <c r="B11" s="12" t="s">
        <v>107</v>
      </c>
      <c r="C11" s="76"/>
      <c r="D11" s="35">
        <f>'Cash flow'!D32/'Cash flow'!D6</f>
        <v>0.10084451068057626</v>
      </c>
      <c r="E11" s="35">
        <f>'Cash flow'!E32/'Cash flow'!E6</f>
        <v>8.5479716677398579E-2</v>
      </c>
      <c r="F11" s="77">
        <v>8.5000000000000006E-2</v>
      </c>
      <c r="G11" s="77">
        <v>8.5000000000000006E-2</v>
      </c>
      <c r="H11" s="77">
        <v>8.5000000000000006E-2</v>
      </c>
      <c r="I11" s="77">
        <v>8.5000000000000006E-2</v>
      </c>
      <c r="J11" s="77">
        <v>8.5000000000000006E-2</v>
      </c>
      <c r="K11" s="71" t="s">
        <v>165</v>
      </c>
    </row>
    <row r="13" spans="1:11" ht="15" customHeight="1" x14ac:dyDescent="0.3">
      <c r="A13" s="68" t="s">
        <v>166</v>
      </c>
      <c r="B13" s="69" t="s">
        <v>96</v>
      </c>
      <c r="C13" s="69" t="s">
        <v>64</v>
      </c>
      <c r="D13" s="69" t="s">
        <v>65</v>
      </c>
      <c r="E13" s="69" t="s">
        <v>66</v>
      </c>
      <c r="F13" s="69" t="s">
        <v>67</v>
      </c>
      <c r="G13" s="69" t="s">
        <v>68</v>
      </c>
      <c r="H13" s="69" t="s">
        <v>69</v>
      </c>
      <c r="I13" s="69" t="s">
        <v>70</v>
      </c>
      <c r="J13" s="69" t="s">
        <v>71</v>
      </c>
      <c r="K13" s="39" t="s">
        <v>152</v>
      </c>
    </row>
    <row r="14" spans="1:11" ht="15" customHeight="1" x14ac:dyDescent="0.3">
      <c r="A14" s="12" t="s">
        <v>167</v>
      </c>
      <c r="B14" s="12" t="s">
        <v>107</v>
      </c>
      <c r="C14" s="76"/>
      <c r="D14" s="35">
        <f>'Cash flow'!D7/'Data Input'!D6</f>
        <v>2.3552278054078776E-2</v>
      </c>
      <c r="E14" s="35">
        <f>'Cash flow'!E7/'Data Input'!E6</f>
        <v>2.5939053125556898E-2</v>
      </c>
      <c r="F14" s="77">
        <v>2.5999999999999999E-2</v>
      </c>
      <c r="G14" s="77">
        <v>2.5999999999999999E-2</v>
      </c>
      <c r="H14" s="77">
        <v>2.5999999999999999E-2</v>
      </c>
      <c r="I14" s="77">
        <v>2.5999999999999999E-2</v>
      </c>
      <c r="J14" s="77">
        <v>2.5999999999999999E-2</v>
      </c>
      <c r="K14" s="71" t="s">
        <v>168</v>
      </c>
    </row>
    <row r="15" spans="1:11" ht="15" customHeight="1" x14ac:dyDescent="0.3">
      <c r="A15" s="12" t="s">
        <v>169</v>
      </c>
      <c r="B15" s="12" t="s">
        <v>107</v>
      </c>
      <c r="C15" s="76"/>
      <c r="D15" s="76"/>
      <c r="E15" s="76"/>
      <c r="F15" s="77">
        <v>0.8</v>
      </c>
      <c r="G15" s="77">
        <v>0.8</v>
      </c>
      <c r="H15" s="77">
        <v>0.8</v>
      </c>
      <c r="I15" s="77">
        <v>0.8</v>
      </c>
      <c r="J15" s="77">
        <v>0.8</v>
      </c>
      <c r="K15" s="71" t="s">
        <v>170</v>
      </c>
    </row>
    <row r="16" spans="1:11" ht="15" customHeight="1" x14ac:dyDescent="0.3">
      <c r="A16" s="12" t="s">
        <v>171</v>
      </c>
      <c r="B16" s="12" t="s">
        <v>107</v>
      </c>
      <c r="C16" s="76"/>
      <c r="D16" s="35">
        <f>-'Cash flow'!D16/'Data Input'!D6</f>
        <v>2.6315288019969893E-2</v>
      </c>
      <c r="E16" s="35">
        <f>-'Cash flow'!E16/'Data Input'!E6</f>
        <v>2.8057739144209254E-2</v>
      </c>
      <c r="F16" s="70">
        <f>CHOOSE($C$4,F50,F51,F52)</f>
        <v>2.8000000000000001E-2</v>
      </c>
      <c r="G16" s="70">
        <f>CHOOSE($C$4,G50,G51,G52)</f>
        <v>2.8000000000000001E-2</v>
      </c>
      <c r="H16" s="70">
        <f>CHOOSE($C$4,H50,H51,H52)</f>
        <v>2.8000000000000001E-2</v>
      </c>
      <c r="I16" s="70">
        <f>CHOOSE($C$4,I50,I51,I52)</f>
        <v>2.8000000000000001E-2</v>
      </c>
      <c r="J16" s="70">
        <f>CHOOSE($C$4,J50,J51,J52)</f>
        <v>2.8000000000000001E-2</v>
      </c>
      <c r="K16" s="71" t="s">
        <v>172</v>
      </c>
    </row>
    <row r="17" spans="1:11" ht="15" customHeight="1" x14ac:dyDescent="0.3">
      <c r="A17" s="12" t="s">
        <v>173</v>
      </c>
      <c r="B17" s="12" t="s">
        <v>107</v>
      </c>
      <c r="C17" s="76"/>
      <c r="D17" s="73">
        <f>-'Cash flow'!D17/'Data Input'!D6</f>
        <v>4.4398711865698661E-3</v>
      </c>
      <c r="E17" s="73">
        <f>-'Cash flow'!E17/'Data Input'!E6</f>
        <v>3.4453398807991606E-3</v>
      </c>
      <c r="F17" s="74">
        <v>3.5000000000000001E-3</v>
      </c>
      <c r="G17" s="74">
        <v>3.5000000000000001E-3</v>
      </c>
      <c r="H17" s="74">
        <v>3.5000000000000001E-3</v>
      </c>
      <c r="I17" s="74">
        <v>3.5000000000000001E-3</v>
      </c>
      <c r="J17" s="74">
        <v>3.5000000000000001E-3</v>
      </c>
      <c r="K17" s="71" t="s">
        <v>174</v>
      </c>
    </row>
    <row r="18" spans="1:11" ht="15" customHeight="1" x14ac:dyDescent="0.3">
      <c r="A18" s="12" t="s">
        <v>175</v>
      </c>
      <c r="B18" s="12" t="s">
        <v>107</v>
      </c>
      <c r="C18" s="76"/>
      <c r="D18" s="35">
        <f>-'Cash flow'!D22/'Cash flow'!D33</f>
        <v>0.79539594843462247</v>
      </c>
      <c r="E18" s="35">
        <f>-'Cash flow'!E22/'Cash flow'!E33</f>
        <v>0.78384087308572437</v>
      </c>
      <c r="F18" s="77">
        <v>0.78</v>
      </c>
      <c r="G18" s="77">
        <v>0.78</v>
      </c>
      <c r="H18" s="77">
        <v>0.78</v>
      </c>
      <c r="I18" s="77">
        <v>0.78</v>
      </c>
      <c r="J18" s="77">
        <v>0.78</v>
      </c>
      <c r="K18" s="71" t="s">
        <v>176</v>
      </c>
    </row>
    <row r="19" spans="1:11" ht="15" customHeight="1" x14ac:dyDescent="0.3">
      <c r="A19" s="12" t="s">
        <v>177</v>
      </c>
      <c r="B19" s="12" t="s">
        <v>160</v>
      </c>
      <c r="C19" s="76"/>
      <c r="D19" s="33">
        <f>-'Cash flow'!D23</f>
        <v>1508</v>
      </c>
      <c r="E19" s="33">
        <f>-'Cash flow'!E23</f>
        <v>1510</v>
      </c>
      <c r="F19" s="75">
        <v>1500</v>
      </c>
      <c r="G19" s="75">
        <v>1500</v>
      </c>
      <c r="H19" s="75">
        <v>1500</v>
      </c>
      <c r="I19" s="75">
        <v>1500</v>
      </c>
      <c r="J19" s="75">
        <v>1500</v>
      </c>
      <c r="K19" s="71" t="s">
        <v>178</v>
      </c>
    </row>
    <row r="20" spans="1:11" ht="15" customHeight="1" x14ac:dyDescent="0.3">
      <c r="A20" s="12" t="s">
        <v>179</v>
      </c>
      <c r="B20" s="12" t="s">
        <v>107</v>
      </c>
      <c r="C20" s="76"/>
      <c r="D20" s="35">
        <f>-'Cash flow'!D24/'Cash flow'!D32</f>
        <v>1.1691297208538587</v>
      </c>
      <c r="E20" s="35">
        <f>-'Cash flow'!E24/'Cash flow'!E32</f>
        <v>1.3709981167608287</v>
      </c>
      <c r="F20" s="77">
        <v>1</v>
      </c>
      <c r="G20" s="77">
        <v>1</v>
      </c>
      <c r="H20" s="77">
        <v>1</v>
      </c>
      <c r="I20" s="77">
        <v>1</v>
      </c>
      <c r="J20" s="77">
        <v>1</v>
      </c>
      <c r="K20" s="71" t="s">
        <v>180</v>
      </c>
    </row>
    <row r="21" spans="1:11" ht="15" customHeight="1" x14ac:dyDescent="0.3">
      <c r="A21" s="12" t="s">
        <v>181</v>
      </c>
      <c r="B21" s="12" t="s">
        <v>160</v>
      </c>
      <c r="C21" s="76"/>
      <c r="D21" s="76"/>
      <c r="E21" s="76"/>
      <c r="F21" s="75">
        <v>0</v>
      </c>
      <c r="G21" s="75">
        <v>0</v>
      </c>
      <c r="H21" s="75">
        <v>0</v>
      </c>
      <c r="I21" s="75">
        <v>0</v>
      </c>
      <c r="J21" s="75">
        <v>0</v>
      </c>
      <c r="K21" s="71" t="s">
        <v>182</v>
      </c>
    </row>
    <row r="23" spans="1:11" ht="15" customHeight="1" x14ac:dyDescent="0.3">
      <c r="A23" s="68" t="s">
        <v>183</v>
      </c>
      <c r="B23" s="69" t="s">
        <v>96</v>
      </c>
      <c r="C23" s="69" t="s">
        <v>64</v>
      </c>
      <c r="D23" s="69" t="s">
        <v>65</v>
      </c>
      <c r="E23" s="69" t="s">
        <v>66</v>
      </c>
      <c r="F23" s="69" t="s">
        <v>67</v>
      </c>
      <c r="G23" s="69" t="s">
        <v>68</v>
      </c>
      <c r="H23" s="69" t="s">
        <v>69</v>
      </c>
      <c r="I23" s="69" t="s">
        <v>70</v>
      </c>
      <c r="J23" s="69" t="s">
        <v>71</v>
      </c>
      <c r="K23" s="39" t="s">
        <v>152</v>
      </c>
    </row>
    <row r="24" spans="1:11" ht="15" customHeight="1" x14ac:dyDescent="0.3">
      <c r="A24" s="12" t="s">
        <v>184</v>
      </c>
      <c r="B24" s="12" t="s">
        <v>107</v>
      </c>
      <c r="C24" s="34" t="s">
        <v>185</v>
      </c>
      <c r="D24" s="34" t="s">
        <v>185</v>
      </c>
      <c r="E24" s="35">
        <f>'Data Input'!E29/'Data Input'!E6</f>
        <v>8.0054650218798887E-2</v>
      </c>
      <c r="F24" s="70">
        <f>CHOOSE($C$4,F55,F56,F57)</f>
        <v>0.08</v>
      </c>
      <c r="G24" s="70">
        <f>CHOOSE($C$4,G55,G56,G57)</f>
        <v>0.08</v>
      </c>
      <c r="H24" s="70">
        <f>CHOOSE($C$4,H55,H56,H57)</f>
        <v>0.08</v>
      </c>
      <c r="I24" s="70">
        <f>CHOOSE($C$4,I55,I56,I57)</f>
        <v>0.08</v>
      </c>
      <c r="J24" s="70">
        <f>CHOOSE($C$4,J55,J56,J57)</f>
        <v>0.08</v>
      </c>
      <c r="K24" s="71" t="s">
        <v>186</v>
      </c>
    </row>
    <row r="25" spans="1:11" ht="15" customHeight="1" x14ac:dyDescent="0.3">
      <c r="A25" s="12" t="s">
        <v>187</v>
      </c>
      <c r="B25" s="12" t="s">
        <v>107</v>
      </c>
      <c r="C25" s="34" t="s">
        <v>185</v>
      </c>
      <c r="D25" s="34" t="s">
        <v>185</v>
      </c>
      <c r="E25" s="35">
        <f>'Data Input'!E30/'Data Input'!E6</f>
        <v>0.14545670554224502</v>
      </c>
      <c r="F25" s="70">
        <f>CHOOSE($C$4,F60,F61,F62)</f>
        <v>0.14499999999999999</v>
      </c>
      <c r="G25" s="70">
        <f>CHOOSE($C$4,G60,G61,G62)</f>
        <v>0.14499999999999999</v>
      </c>
      <c r="H25" s="70">
        <f>CHOOSE($C$4,H60,H61,H62)</f>
        <v>0.14499999999999999</v>
      </c>
      <c r="I25" s="70">
        <f>CHOOSE($C$4,I60,I61,I62)</f>
        <v>0.14499999999999999</v>
      </c>
      <c r="J25" s="70">
        <f>CHOOSE($C$4,J60,J61,J62)</f>
        <v>0.14499999999999999</v>
      </c>
      <c r="K25" s="71" t="s">
        <v>188</v>
      </c>
    </row>
    <row r="26" spans="1:11" ht="15" customHeight="1" x14ac:dyDescent="0.3">
      <c r="A26" s="12" t="s">
        <v>189</v>
      </c>
      <c r="B26" s="12" t="s">
        <v>107</v>
      </c>
      <c r="C26" s="76"/>
      <c r="D26" s="76"/>
      <c r="E26" s="76"/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1" t="s">
        <v>190</v>
      </c>
    </row>
    <row r="27" spans="1:11" ht="15" customHeight="1" x14ac:dyDescent="0.3">
      <c r="A27" s="12" t="s">
        <v>191</v>
      </c>
      <c r="B27" s="12" t="s">
        <v>107</v>
      </c>
      <c r="C27" s="34" t="s">
        <v>185</v>
      </c>
      <c r="D27" s="34" t="s">
        <v>185</v>
      </c>
      <c r="E27" s="35">
        <f>'Data Input'!E36/'Data Input'!E6</f>
        <v>0.3777993386531493</v>
      </c>
      <c r="F27" s="77">
        <v>0.378</v>
      </c>
      <c r="G27" s="77">
        <v>0.378</v>
      </c>
      <c r="H27" s="77">
        <v>0.378</v>
      </c>
      <c r="I27" s="77">
        <v>0.378</v>
      </c>
      <c r="J27" s="77">
        <v>0.378</v>
      </c>
      <c r="K27" s="71" t="s">
        <v>192</v>
      </c>
    </row>
    <row r="28" spans="1:11" ht="15" customHeight="1" x14ac:dyDescent="0.3">
      <c r="A28" s="12" t="s">
        <v>193</v>
      </c>
      <c r="B28" s="12" t="s">
        <v>107</v>
      </c>
      <c r="C28" s="76"/>
      <c r="D28" s="76"/>
      <c r="E28" s="76"/>
      <c r="F28" s="77">
        <v>0</v>
      </c>
      <c r="G28" s="77">
        <v>0</v>
      </c>
      <c r="H28" s="77">
        <v>0</v>
      </c>
      <c r="I28" s="77">
        <v>0</v>
      </c>
      <c r="J28" s="77">
        <v>0</v>
      </c>
      <c r="K28" s="71" t="s">
        <v>194</v>
      </c>
    </row>
    <row r="29" spans="1:11" ht="15" customHeight="1" x14ac:dyDescent="0.3">
      <c r="A29" s="12" t="s">
        <v>195</v>
      </c>
      <c r="B29" s="12" t="s">
        <v>107</v>
      </c>
      <c r="C29" s="76"/>
      <c r="D29" s="76"/>
      <c r="E29" s="76"/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1" t="s">
        <v>190</v>
      </c>
    </row>
    <row r="31" spans="1:11" ht="15" customHeight="1" x14ac:dyDescent="0.3">
      <c r="A31" s="66" t="s">
        <v>196</v>
      </c>
    </row>
    <row r="33" spans="1:11" ht="15" customHeight="1" x14ac:dyDescent="0.3">
      <c r="A33" s="68" t="s">
        <v>197</v>
      </c>
      <c r="B33" s="69" t="s">
        <v>96</v>
      </c>
      <c r="C33" s="69" t="s">
        <v>64</v>
      </c>
      <c r="D33" s="69" t="s">
        <v>65</v>
      </c>
      <c r="E33" s="69" t="s">
        <v>66</v>
      </c>
      <c r="F33" s="69" t="s">
        <v>67</v>
      </c>
      <c r="G33" s="69" t="s">
        <v>68</v>
      </c>
      <c r="H33" s="69" t="s">
        <v>69</v>
      </c>
      <c r="I33" s="69" t="s">
        <v>70</v>
      </c>
      <c r="J33" s="69" t="s">
        <v>71</v>
      </c>
      <c r="K33" s="78" t="s">
        <v>198</v>
      </c>
    </row>
    <row r="34" spans="1:11" ht="15" customHeight="1" x14ac:dyDescent="0.3">
      <c r="A34" s="14" t="s">
        <v>153</v>
      </c>
      <c r="K34" s="71" t="s">
        <v>199</v>
      </c>
    </row>
    <row r="35" spans="1:11" ht="15" customHeight="1" x14ac:dyDescent="0.3">
      <c r="A35" s="12" t="s">
        <v>200</v>
      </c>
      <c r="B35" s="12" t="s">
        <v>107</v>
      </c>
      <c r="F35" s="77">
        <v>5.0000000000000001E-3</v>
      </c>
      <c r="G35" s="77">
        <v>1.4999999999999999E-2</v>
      </c>
      <c r="H35" s="77">
        <v>0.02</v>
      </c>
      <c r="I35" s="77">
        <v>0.02</v>
      </c>
      <c r="J35" s="77">
        <v>0.02</v>
      </c>
    </row>
    <row r="36" spans="1:11" ht="15" customHeight="1" x14ac:dyDescent="0.3">
      <c r="A36" s="12" t="s">
        <v>201</v>
      </c>
      <c r="B36" s="12" t="s">
        <v>107</v>
      </c>
      <c r="F36" s="77">
        <v>1.4999999999999999E-2</v>
      </c>
      <c r="G36" s="77">
        <v>3.5000000000000003E-2</v>
      </c>
      <c r="H36" s="77">
        <v>0.04</v>
      </c>
      <c r="I36" s="77">
        <v>0.04</v>
      </c>
      <c r="J36" s="77">
        <v>3.5000000000000003E-2</v>
      </c>
    </row>
    <row r="37" spans="1:11" ht="15" customHeight="1" x14ac:dyDescent="0.3">
      <c r="A37" s="12" t="s">
        <v>202</v>
      </c>
      <c r="B37" s="12" t="s">
        <v>107</v>
      </c>
      <c r="F37" s="77">
        <v>2.5000000000000001E-2</v>
      </c>
      <c r="G37" s="77">
        <v>0.05</v>
      </c>
      <c r="H37" s="77">
        <v>0.05</v>
      </c>
      <c r="I37" s="77">
        <v>0.05</v>
      </c>
      <c r="J37" s="77">
        <v>0.05</v>
      </c>
    </row>
    <row r="39" spans="1:11" ht="15" customHeight="1" x14ac:dyDescent="0.3">
      <c r="A39" s="14" t="s">
        <v>203</v>
      </c>
      <c r="K39" s="71" t="s">
        <v>204</v>
      </c>
    </row>
    <row r="40" spans="1:11" ht="15" customHeight="1" x14ac:dyDescent="0.3">
      <c r="A40" s="12" t="s">
        <v>200</v>
      </c>
      <c r="B40" s="12" t="s">
        <v>107</v>
      </c>
      <c r="F40" s="77">
        <v>0.17899999999999999</v>
      </c>
      <c r="G40" s="77">
        <v>0.17699999999999999</v>
      </c>
      <c r="H40" s="77">
        <v>0.17499999999999999</v>
      </c>
      <c r="I40" s="77">
        <v>0.17499999999999999</v>
      </c>
      <c r="J40" s="77">
        <v>0.17499999999999999</v>
      </c>
    </row>
    <row r="41" spans="1:11" ht="15" customHeight="1" x14ac:dyDescent="0.3">
      <c r="A41" s="12" t="s">
        <v>201</v>
      </c>
      <c r="B41" s="12" t="s">
        <v>107</v>
      </c>
      <c r="F41" s="77">
        <v>0.184</v>
      </c>
      <c r="G41" s="77">
        <v>0.187</v>
      </c>
      <c r="H41" s="77">
        <v>0.19</v>
      </c>
      <c r="I41" s="77">
        <v>0.192</v>
      </c>
      <c r="J41" s="77">
        <v>0.19400000000000001</v>
      </c>
    </row>
    <row r="42" spans="1:11" ht="15" customHeight="1" x14ac:dyDescent="0.3">
      <c r="A42" s="12" t="s">
        <v>202</v>
      </c>
      <c r="B42" s="12" t="s">
        <v>107</v>
      </c>
      <c r="F42" s="77">
        <v>0.188</v>
      </c>
      <c r="G42" s="77">
        <v>0.19400000000000001</v>
      </c>
      <c r="H42" s="77">
        <v>0.19900000000000001</v>
      </c>
      <c r="I42" s="77">
        <v>0.20300000000000001</v>
      </c>
      <c r="J42" s="77">
        <v>0.20499999999999999</v>
      </c>
    </row>
    <row r="44" spans="1:11" ht="15" customHeight="1" x14ac:dyDescent="0.3">
      <c r="A44" s="14" t="s">
        <v>162</v>
      </c>
      <c r="K44" s="71" t="s">
        <v>205</v>
      </c>
    </row>
    <row r="45" spans="1:11" ht="15" customHeight="1" x14ac:dyDescent="0.3">
      <c r="A45" s="12" t="s">
        <v>200</v>
      </c>
      <c r="B45" s="12" t="s">
        <v>107</v>
      </c>
      <c r="F45" s="77">
        <v>0.28000000000000003</v>
      </c>
      <c r="G45" s="77">
        <v>0.28000000000000003</v>
      </c>
      <c r="H45" s="77">
        <v>0.27500000000000002</v>
      </c>
      <c r="I45" s="77">
        <v>0.27500000000000002</v>
      </c>
      <c r="J45" s="77">
        <v>0.27500000000000002</v>
      </c>
    </row>
    <row r="46" spans="1:11" ht="15" customHeight="1" x14ac:dyDescent="0.3">
      <c r="A46" s="12" t="s">
        <v>201</v>
      </c>
      <c r="B46" s="12" t="s">
        <v>107</v>
      </c>
      <c r="F46" s="77">
        <v>0.27</v>
      </c>
      <c r="G46" s="77">
        <v>0.26500000000000001</v>
      </c>
      <c r="H46" s="77">
        <v>0.26</v>
      </c>
      <c r="I46" s="77">
        <v>0.26</v>
      </c>
      <c r="J46" s="77">
        <v>0.26</v>
      </c>
    </row>
    <row r="47" spans="1:11" ht="15" customHeight="1" x14ac:dyDescent="0.3">
      <c r="A47" s="12" t="s">
        <v>202</v>
      </c>
      <c r="B47" s="12" t="s">
        <v>107</v>
      </c>
      <c r="F47" s="77">
        <v>0.26</v>
      </c>
      <c r="G47" s="77">
        <v>0.255</v>
      </c>
      <c r="H47" s="77">
        <v>0.255</v>
      </c>
      <c r="I47" s="77">
        <v>0.255</v>
      </c>
      <c r="J47" s="77">
        <v>0.255</v>
      </c>
    </row>
    <row r="49" spans="1:11" ht="15" customHeight="1" x14ac:dyDescent="0.3">
      <c r="A49" s="14" t="s">
        <v>171</v>
      </c>
      <c r="K49" s="71" t="s">
        <v>206</v>
      </c>
    </row>
    <row r="50" spans="1:11" ht="15" customHeight="1" x14ac:dyDescent="0.3">
      <c r="A50" s="12" t="s">
        <v>200</v>
      </c>
      <c r="B50" s="12" t="s">
        <v>107</v>
      </c>
      <c r="F50" s="77">
        <v>3.2000000000000001E-2</v>
      </c>
      <c r="G50" s="77">
        <v>3.2000000000000001E-2</v>
      </c>
      <c r="H50" s="77">
        <v>3.2000000000000001E-2</v>
      </c>
      <c r="I50" s="77">
        <v>3.2000000000000001E-2</v>
      </c>
      <c r="J50" s="77">
        <v>3.2000000000000001E-2</v>
      </c>
    </row>
    <row r="51" spans="1:11" ht="15" customHeight="1" x14ac:dyDescent="0.3">
      <c r="A51" s="12" t="s">
        <v>201</v>
      </c>
      <c r="B51" s="12" t="s">
        <v>107</v>
      </c>
      <c r="F51" s="77">
        <v>2.8000000000000001E-2</v>
      </c>
      <c r="G51" s="77">
        <v>2.8000000000000001E-2</v>
      </c>
      <c r="H51" s="77">
        <v>2.8000000000000001E-2</v>
      </c>
      <c r="I51" s="77">
        <v>2.8000000000000001E-2</v>
      </c>
      <c r="J51" s="77">
        <v>2.8000000000000001E-2</v>
      </c>
    </row>
    <row r="52" spans="1:11" ht="15" customHeight="1" x14ac:dyDescent="0.3">
      <c r="A52" s="12" t="s">
        <v>202</v>
      </c>
      <c r="B52" s="12" t="s">
        <v>107</v>
      </c>
      <c r="F52" s="77">
        <v>2.5999999999999999E-2</v>
      </c>
      <c r="G52" s="77">
        <v>2.5999999999999999E-2</v>
      </c>
      <c r="H52" s="77">
        <v>2.5999999999999999E-2</v>
      </c>
      <c r="I52" s="77">
        <v>2.5999999999999999E-2</v>
      </c>
      <c r="J52" s="77">
        <v>2.5999999999999999E-2</v>
      </c>
    </row>
    <row r="54" spans="1:11" ht="15" customHeight="1" x14ac:dyDescent="0.3">
      <c r="A54" s="14" t="s">
        <v>184</v>
      </c>
      <c r="K54" s="71" t="s">
        <v>207</v>
      </c>
    </row>
    <row r="55" spans="1:11" ht="15" customHeight="1" x14ac:dyDescent="0.3">
      <c r="A55" s="12" t="s">
        <v>200</v>
      </c>
      <c r="B55" s="12" t="s">
        <v>107</v>
      </c>
      <c r="F55" s="77">
        <v>8.5000000000000006E-2</v>
      </c>
      <c r="G55" s="77">
        <v>8.5000000000000006E-2</v>
      </c>
      <c r="H55" s="77">
        <v>8.5000000000000006E-2</v>
      </c>
      <c r="I55" s="77">
        <v>8.5000000000000006E-2</v>
      </c>
      <c r="J55" s="77">
        <v>8.5000000000000006E-2</v>
      </c>
    </row>
    <row r="56" spans="1:11" ht="15" customHeight="1" x14ac:dyDescent="0.3">
      <c r="A56" s="12" t="s">
        <v>201</v>
      </c>
      <c r="B56" s="12" t="s">
        <v>107</v>
      </c>
      <c r="F56" s="77">
        <v>0.08</v>
      </c>
      <c r="G56" s="77">
        <v>0.08</v>
      </c>
      <c r="H56" s="77">
        <v>0.08</v>
      </c>
      <c r="I56" s="77">
        <v>0.08</v>
      </c>
      <c r="J56" s="77">
        <v>0.08</v>
      </c>
    </row>
    <row r="57" spans="1:11" ht="15" customHeight="1" x14ac:dyDescent="0.3">
      <c r="A57" s="12" t="s">
        <v>202</v>
      </c>
      <c r="B57" s="12" t="s">
        <v>107</v>
      </c>
      <c r="F57" s="77">
        <v>7.5999999999999998E-2</v>
      </c>
      <c r="G57" s="77">
        <v>7.5999999999999998E-2</v>
      </c>
      <c r="H57" s="77">
        <v>7.5999999999999998E-2</v>
      </c>
      <c r="I57" s="77">
        <v>7.5999999999999998E-2</v>
      </c>
      <c r="J57" s="77">
        <v>7.5999999999999998E-2</v>
      </c>
    </row>
    <row r="59" spans="1:11" ht="15" customHeight="1" x14ac:dyDescent="0.3">
      <c r="A59" s="14" t="s">
        <v>208</v>
      </c>
      <c r="K59" s="71" t="s">
        <v>209</v>
      </c>
    </row>
    <row r="60" spans="1:11" ht="15" customHeight="1" x14ac:dyDescent="0.3">
      <c r="A60" s="12" t="s">
        <v>200</v>
      </c>
      <c r="B60" s="12" t="s">
        <v>107</v>
      </c>
      <c r="F60" s="77">
        <v>0.15</v>
      </c>
      <c r="G60" s="77">
        <v>0.15</v>
      </c>
      <c r="H60" s="77">
        <v>0.15</v>
      </c>
      <c r="I60" s="77">
        <v>0.15</v>
      </c>
      <c r="J60" s="77">
        <v>0.15</v>
      </c>
    </row>
    <row r="61" spans="1:11" ht="15" customHeight="1" x14ac:dyDescent="0.3">
      <c r="A61" s="12" t="s">
        <v>201</v>
      </c>
      <c r="B61" s="12" t="s">
        <v>107</v>
      </c>
      <c r="F61" s="77">
        <v>0.14499999999999999</v>
      </c>
      <c r="G61" s="77">
        <v>0.14499999999999999</v>
      </c>
      <c r="H61" s="77">
        <v>0.14499999999999999</v>
      </c>
      <c r="I61" s="77">
        <v>0.14499999999999999</v>
      </c>
      <c r="J61" s="77">
        <v>0.14499999999999999</v>
      </c>
    </row>
    <row r="62" spans="1:11" ht="15" customHeight="1" x14ac:dyDescent="0.3">
      <c r="A62" s="12" t="s">
        <v>202</v>
      </c>
      <c r="B62" s="12" t="s">
        <v>107</v>
      </c>
      <c r="F62" s="77">
        <v>0.14000000000000001</v>
      </c>
      <c r="G62" s="77">
        <v>0.14000000000000001</v>
      </c>
      <c r="H62" s="77">
        <v>0.14000000000000001</v>
      </c>
      <c r="I62" s="77">
        <v>0.14000000000000001</v>
      </c>
      <c r="J62" s="77">
        <v>0.14000000000000001</v>
      </c>
    </row>
  </sheetData>
  <dataValidations count="1">
    <dataValidation type="whole" showErrorMessage="1" error="Enter 1, 2 or 3" sqref="C4" xr:uid="{00000000-0002-0000-0400-000000000000}">
      <formula1>1</formula1>
      <formula2>3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9"/>
  <sheetViews>
    <sheetView tabSelected="1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16" sqref="N16"/>
    </sheetView>
  </sheetViews>
  <sheetFormatPr defaultColWidth="8.6640625" defaultRowHeight="14.4" x14ac:dyDescent="0.3"/>
  <cols>
    <col min="1" max="1" width="62" customWidth="1"/>
    <col min="2" max="2" width="8" customWidth="1"/>
    <col min="3" max="10" width="11" customWidth="1"/>
  </cols>
  <sheetData>
    <row r="1" spans="1:10" ht="15" customHeight="1" x14ac:dyDescent="0.3">
      <c r="A1" s="14" t="s">
        <v>92</v>
      </c>
    </row>
    <row r="2" spans="1:10" ht="15" customHeight="1" x14ac:dyDescent="0.3">
      <c r="A2" s="14" t="s">
        <v>210</v>
      </c>
    </row>
    <row r="3" spans="1:10" ht="15" customHeight="1" x14ac:dyDescent="0.3">
      <c r="A3" s="12" t="s">
        <v>149</v>
      </c>
    </row>
    <row r="5" spans="1:10" ht="15" customHeight="1" x14ac:dyDescent="0.3">
      <c r="A5" s="68" t="s">
        <v>211</v>
      </c>
      <c r="B5" s="69" t="s">
        <v>96</v>
      </c>
      <c r="C5" s="69" t="s">
        <v>64</v>
      </c>
      <c r="D5" s="69" t="s">
        <v>65</v>
      </c>
      <c r="E5" s="69" t="s">
        <v>66</v>
      </c>
      <c r="F5" s="69" t="s">
        <v>67</v>
      </c>
      <c r="G5" s="69" t="s">
        <v>68</v>
      </c>
      <c r="H5" s="69" t="s">
        <v>69</v>
      </c>
      <c r="I5" s="69" t="s">
        <v>70</v>
      </c>
      <c r="J5" s="69" t="s">
        <v>71</v>
      </c>
    </row>
    <row r="6" spans="1:10" ht="15" customHeight="1" x14ac:dyDescent="0.3">
      <c r="A6" s="12" t="s">
        <v>212</v>
      </c>
      <c r="B6" s="12" t="s">
        <v>160</v>
      </c>
      <c r="D6" s="22">
        <f>'Data Input'!D12</f>
        <v>6039</v>
      </c>
      <c r="E6" s="22">
        <f>'Data Input'!E12</f>
        <v>6212</v>
      </c>
      <c r="F6" s="22">
        <f>'Data Input'!F12</f>
        <v>6602.9962043999985</v>
      </c>
      <c r="G6" s="22">
        <f>'Data Input'!G12</f>
        <v>7003.421372583025</v>
      </c>
      <c r="H6" s="22">
        <f>'Data Input'!H12</f>
        <v>7465.633306517575</v>
      </c>
      <c r="I6" s="22">
        <f>'Data Input'!I12</f>
        <v>7861.2321199911312</v>
      </c>
      <c r="J6" s="22">
        <f>'Data Input'!J12</f>
        <v>8236.0387404944013</v>
      </c>
    </row>
    <row r="7" spans="1:10" ht="15" customHeight="1" x14ac:dyDescent="0.3">
      <c r="A7" s="12" t="s">
        <v>213</v>
      </c>
      <c r="B7" s="12" t="s">
        <v>160</v>
      </c>
      <c r="D7" s="75">
        <v>1236</v>
      </c>
      <c r="E7" s="75">
        <v>1310</v>
      </c>
      <c r="F7" s="79">
        <f>Assumptions!F14*'Data Input'!F6</f>
        <v>1332.7741699999999</v>
      </c>
      <c r="G7" s="79">
        <f>Assumptions!G14*'Data Input'!G6</f>
        <v>1379.4212659499997</v>
      </c>
      <c r="H7" s="79">
        <f>Assumptions!H14*'Data Input'!H6</f>
        <v>1434.5981165879998</v>
      </c>
      <c r="I7" s="79">
        <f>Assumptions!I14*'Data Input'!I6</f>
        <v>1491.9820412515198</v>
      </c>
      <c r="J7" s="79">
        <f>Assumptions!J14*'Data Input'!J6</f>
        <v>1544.2014126953229</v>
      </c>
    </row>
    <row r="8" spans="1:10" ht="15" customHeight="1" x14ac:dyDescent="0.3">
      <c r="A8" s="12" t="s">
        <v>214</v>
      </c>
      <c r="B8" s="12" t="s">
        <v>160</v>
      </c>
      <c r="F8" s="79">
        <f>F7*Assumptions!F15</f>
        <v>1066.2193359999999</v>
      </c>
      <c r="G8" s="79">
        <f>G7*Assumptions!G15</f>
        <v>1103.5370127599997</v>
      </c>
      <c r="H8" s="79">
        <f>H7*Assumptions!H15</f>
        <v>1147.6784932703999</v>
      </c>
      <c r="I8" s="79">
        <f>I7*Assumptions!I15</f>
        <v>1193.5856330012159</v>
      </c>
      <c r="J8" s="79">
        <f>J7*Assumptions!J15</f>
        <v>1235.3611301562585</v>
      </c>
    </row>
    <row r="9" spans="1:10" ht="15" customHeight="1" x14ac:dyDescent="0.3">
      <c r="A9" s="12" t="s">
        <v>215</v>
      </c>
      <c r="B9" s="12" t="s">
        <v>160</v>
      </c>
      <c r="F9" s="79">
        <f>F7-F8</f>
        <v>266.55483400000003</v>
      </c>
      <c r="G9" s="79">
        <f>G7-G8</f>
        <v>275.88425318999998</v>
      </c>
      <c r="H9" s="79">
        <f>H7-H8</f>
        <v>286.91962331759987</v>
      </c>
      <c r="I9" s="79">
        <f>I7-I8</f>
        <v>298.39640825030392</v>
      </c>
      <c r="J9" s="79">
        <f>J7-J8</f>
        <v>308.84028253906445</v>
      </c>
    </row>
    <row r="10" spans="1:10" ht="15" customHeight="1" x14ac:dyDescent="0.3">
      <c r="A10" s="12" t="s">
        <v>216</v>
      </c>
      <c r="B10" s="12" t="s">
        <v>160</v>
      </c>
      <c r="F10" s="79">
        <f>-('Data Input'!F29-'Data Input'!E29)</f>
        <v>-57.843600000000151</v>
      </c>
      <c r="G10" s="79">
        <f>-('Data Input'!G29-'Data Input'!F29)</f>
        <v>-143.52952599999935</v>
      </c>
      <c r="H10" s="79">
        <f>-('Data Input'!H29-'Data Input'!G29)</f>
        <v>-169.7749250400002</v>
      </c>
      <c r="I10" s="79">
        <f>-('Data Input'!I29-'Data Input'!H29)</f>
        <v>-176.56592204160006</v>
      </c>
      <c r="J10" s="79">
        <f>-('Data Input'!J29-'Data Input'!I29)</f>
        <v>-160.67498905785578</v>
      </c>
    </row>
    <row r="11" spans="1:10" ht="15" customHeight="1" x14ac:dyDescent="0.3">
      <c r="A11" s="12" t="s">
        <v>217</v>
      </c>
      <c r="B11" s="12" t="s">
        <v>160</v>
      </c>
      <c r="F11" s="79">
        <f>-('Data Input'!F30-'Data Input'!E30)</f>
        <v>-86.77902499999891</v>
      </c>
      <c r="G11" s="79">
        <f>-('Data Input'!G30-'Data Input'!F30)</f>
        <v>-260.1472658749999</v>
      </c>
      <c r="H11" s="79">
        <f>-('Data Input'!H30-'Data Input'!G30)</f>
        <v>-307.71705163499973</v>
      </c>
      <c r="I11" s="79">
        <f>-('Data Input'!I30-'Data Input'!H30)</f>
        <v>-320.02573370040045</v>
      </c>
      <c r="J11" s="79">
        <f>-('Data Input'!J30-'Data Input'!I30)</f>
        <v>-291.22341766736281</v>
      </c>
    </row>
    <row r="12" spans="1:10" ht="15" customHeight="1" x14ac:dyDescent="0.3">
      <c r="A12" s="12" t="s">
        <v>218</v>
      </c>
      <c r="B12" s="12" t="s">
        <v>160</v>
      </c>
      <c r="F12" s="79">
        <f>-('Data Input'!F32-'Data Input'!E32)</f>
        <v>0</v>
      </c>
      <c r="G12" s="79">
        <f>-('Data Input'!G32-'Data Input'!F32)</f>
        <v>0</v>
      </c>
      <c r="H12" s="79">
        <f>-('Data Input'!H32-'Data Input'!G32)</f>
        <v>0</v>
      </c>
      <c r="I12" s="79">
        <f>-('Data Input'!I32-'Data Input'!H32)</f>
        <v>0</v>
      </c>
      <c r="J12" s="79">
        <f>-('Data Input'!J32-'Data Input'!I32)</f>
        <v>0</v>
      </c>
    </row>
    <row r="13" spans="1:10" ht="15" customHeight="1" x14ac:dyDescent="0.3">
      <c r="A13" s="12" t="s">
        <v>219</v>
      </c>
      <c r="B13" s="12" t="s">
        <v>160</v>
      </c>
      <c r="F13" s="79">
        <f>'Data Input'!F36-'Data Input'!E36</f>
        <v>296.48601000000053</v>
      </c>
      <c r="G13" s="79">
        <f>'Data Input'!G36-'Data Input'!F36</f>
        <v>678.17701034999845</v>
      </c>
      <c r="H13" s="79">
        <f>'Data Input'!H36-'Data Input'!G36</f>
        <v>802.18652081400069</v>
      </c>
      <c r="I13" s="79">
        <f>'Data Input'!I36-'Data Input'!H36</f>
        <v>834.27398164655824</v>
      </c>
      <c r="J13" s="79">
        <f>'Data Input'!J36-'Data Input'!I36</f>
        <v>759.18932329836753</v>
      </c>
    </row>
    <row r="14" spans="1:10" ht="15" customHeight="1" x14ac:dyDescent="0.3">
      <c r="A14" s="14" t="s">
        <v>220</v>
      </c>
      <c r="B14" s="12" t="s">
        <v>160</v>
      </c>
      <c r="F14" s="80">
        <f>F6+F7+SUM(F10:F13)</f>
        <v>8087.6337593999997</v>
      </c>
      <c r="G14" s="80">
        <f>G6+G7+SUM(G10:G13)</f>
        <v>8657.3428570080232</v>
      </c>
      <c r="H14" s="80">
        <f>H6+H7+SUM(H10:H13)</f>
        <v>9224.9259672445769</v>
      </c>
      <c r="I14" s="80">
        <f>I6+I7+SUM(I10:I13)</f>
        <v>9690.896487147209</v>
      </c>
      <c r="J14" s="80">
        <f>J6+J7+SUM(J10:J13)</f>
        <v>10087.531069762874</v>
      </c>
    </row>
    <row r="16" spans="1:10" ht="15" customHeight="1" x14ac:dyDescent="0.3">
      <c r="A16" s="12" t="s">
        <v>221</v>
      </c>
      <c r="B16" s="12" t="s">
        <v>160</v>
      </c>
      <c r="D16" s="75">
        <v>-1381</v>
      </c>
      <c r="E16" s="75">
        <v>-1417</v>
      </c>
      <c r="F16" s="79">
        <f>-Assumptions!F16*'Data Input'!F6</f>
        <v>-1435.2952599999999</v>
      </c>
      <c r="G16" s="79">
        <f>-Assumptions!G16*'Data Input'!G6</f>
        <v>-1485.5305940999999</v>
      </c>
      <c r="H16" s="79">
        <f>-Assumptions!H16*'Data Input'!H6</f>
        <v>-1544.9518178639998</v>
      </c>
      <c r="I16" s="79">
        <f>-Assumptions!I16*'Data Input'!I6</f>
        <v>-1606.7498905785599</v>
      </c>
      <c r="J16" s="79">
        <f>-Assumptions!J16*'Data Input'!J6</f>
        <v>-1662.9861367488095</v>
      </c>
    </row>
    <row r="17" spans="1:10" ht="15" customHeight="1" x14ac:dyDescent="0.3">
      <c r="A17" s="12" t="s">
        <v>222</v>
      </c>
      <c r="B17" s="12" t="s">
        <v>160</v>
      </c>
      <c r="D17" s="75">
        <v>-233</v>
      </c>
      <c r="E17" s="75">
        <v>-174</v>
      </c>
      <c r="F17" s="79">
        <f>-Assumptions!F17*'Data Input'!F6</f>
        <v>-179.41190749999998</v>
      </c>
      <c r="G17" s="79">
        <f>-Assumptions!G17*'Data Input'!G6</f>
        <v>-185.69132426249999</v>
      </c>
      <c r="H17" s="79">
        <f>-Assumptions!H17*'Data Input'!H6</f>
        <v>-193.11897723299998</v>
      </c>
      <c r="I17" s="79">
        <f>-Assumptions!I17*'Data Input'!I6</f>
        <v>-200.84373632231998</v>
      </c>
      <c r="J17" s="79">
        <f>-Assumptions!J17*'Data Input'!J6</f>
        <v>-207.87326709360119</v>
      </c>
    </row>
    <row r="18" spans="1:10" ht="15" customHeight="1" x14ac:dyDescent="0.3">
      <c r="A18" s="14" t="s">
        <v>223</v>
      </c>
      <c r="B18" s="12" t="s">
        <v>160</v>
      </c>
      <c r="F18" s="80">
        <f>F16+F17</f>
        <v>-1614.7071674999997</v>
      </c>
      <c r="G18" s="80">
        <f>G16+G17</f>
        <v>-1671.2219183625</v>
      </c>
      <c r="H18" s="80">
        <f>H16+H17</f>
        <v>-1738.0707950969997</v>
      </c>
      <c r="I18" s="80">
        <f>I16+I17</f>
        <v>-1807.5936269008798</v>
      </c>
      <c r="J18" s="80">
        <f>J16+J17</f>
        <v>-1870.8594038424108</v>
      </c>
    </row>
    <row r="20" spans="1:10" ht="15" customHeight="1" x14ac:dyDescent="0.3">
      <c r="A20" s="14" t="s">
        <v>224</v>
      </c>
      <c r="B20" s="12" t="s">
        <v>160</v>
      </c>
    </row>
    <row r="21" spans="1:10" ht="15" customHeight="1" x14ac:dyDescent="0.3">
      <c r="A21" s="12" t="s">
        <v>181</v>
      </c>
      <c r="B21" s="12" t="s">
        <v>160</v>
      </c>
      <c r="F21" s="79">
        <f>Assumptions!F21</f>
        <v>0</v>
      </c>
      <c r="G21" s="79">
        <f>Assumptions!G21</f>
        <v>0</v>
      </c>
      <c r="H21" s="79">
        <f>Assumptions!H21</f>
        <v>0</v>
      </c>
      <c r="I21" s="79">
        <f>Assumptions!I21</f>
        <v>0</v>
      </c>
      <c r="J21" s="79">
        <f>Assumptions!J21</f>
        <v>0</v>
      </c>
    </row>
    <row r="22" spans="1:10" ht="15" customHeight="1" x14ac:dyDescent="0.3">
      <c r="A22" s="12" t="s">
        <v>225</v>
      </c>
      <c r="B22" s="12" t="s">
        <v>160</v>
      </c>
      <c r="D22" s="75">
        <v>-4319</v>
      </c>
      <c r="E22" s="75">
        <v>-4453</v>
      </c>
      <c r="F22" s="79">
        <f>-Assumptions!F18*F33</f>
        <v>-4712.5583910802798</v>
      </c>
      <c r="G22" s="79">
        <f>-Assumptions!G18*G33</f>
        <v>-4998.3418336125051</v>
      </c>
      <c r="H22" s="79">
        <f>-Assumptions!H18*H33</f>
        <v>-5328.2224908615935</v>
      </c>
      <c r="I22" s="79">
        <f>-Assumptions!I18*I33</f>
        <v>-5610.5613640376705</v>
      </c>
      <c r="J22" s="79">
        <f>-Assumptions!J18*J33</f>
        <v>-5878.0608490908544</v>
      </c>
    </row>
    <row r="23" spans="1:10" ht="15" customHeight="1" x14ac:dyDescent="0.3">
      <c r="A23" s="12" t="s">
        <v>177</v>
      </c>
      <c r="B23" s="12" t="s">
        <v>160</v>
      </c>
      <c r="D23" s="75">
        <v>-1508</v>
      </c>
      <c r="E23" s="75">
        <v>-1510</v>
      </c>
      <c r="F23" s="79">
        <f>-Assumptions!F19</f>
        <v>-1500</v>
      </c>
      <c r="G23" s="79">
        <f>-Assumptions!G19</f>
        <v>-1500</v>
      </c>
      <c r="H23" s="79">
        <f>-Assumptions!H19</f>
        <v>-1500</v>
      </c>
      <c r="I23" s="79">
        <f>-Assumptions!I19</f>
        <v>-1500</v>
      </c>
      <c r="J23" s="79">
        <f>-Assumptions!J19</f>
        <v>-1500</v>
      </c>
    </row>
    <row r="24" spans="1:10" ht="15" customHeight="1" x14ac:dyDescent="0.3">
      <c r="A24" s="12" t="s">
        <v>226</v>
      </c>
      <c r="B24" s="12" t="s">
        <v>160</v>
      </c>
      <c r="D24" s="75">
        <v>-712</v>
      </c>
      <c r="E24" s="75">
        <v>-728</v>
      </c>
      <c r="F24" s="79">
        <f>-Assumptions!F20*F32</f>
        <v>-561.25467737399993</v>
      </c>
      <c r="G24" s="79">
        <f>-Assumptions!G20*G32</f>
        <v>-595.29081666955722</v>
      </c>
      <c r="H24" s="79">
        <f>-Assumptions!H20*H32</f>
        <v>-634.57883105399389</v>
      </c>
      <c r="I24" s="79">
        <f>-Assumptions!I20*I32</f>
        <v>-668.20473019924623</v>
      </c>
      <c r="J24" s="79">
        <f>-Assumptions!J20*J32</f>
        <v>-700.06329294202419</v>
      </c>
    </row>
    <row r="25" spans="1:10" ht="15" customHeight="1" x14ac:dyDescent="0.3">
      <c r="A25" s="14" t="s">
        <v>227</v>
      </c>
      <c r="B25" s="12" t="s">
        <v>160</v>
      </c>
      <c r="F25" s="80">
        <f>SUM(F21:F24)</f>
        <v>-6773.8130684542793</v>
      </c>
      <c r="G25" s="80">
        <f>SUM(G21:G24)</f>
        <v>-7093.6326502820621</v>
      </c>
      <c r="H25" s="80">
        <f>SUM(H21:H24)</f>
        <v>-7462.8013219155873</v>
      </c>
      <c r="I25" s="80">
        <f>SUM(I21:I24)</f>
        <v>-7778.7660942369166</v>
      </c>
      <c r="J25" s="80">
        <f>SUM(J21:J24)</f>
        <v>-8078.1241420328788</v>
      </c>
    </row>
    <row r="27" spans="1:10" ht="15" customHeight="1" x14ac:dyDescent="0.3">
      <c r="A27" s="14" t="s">
        <v>228</v>
      </c>
      <c r="B27" s="12" t="s">
        <v>160</v>
      </c>
      <c r="F27" s="80">
        <f>F14+F18+F25</f>
        <v>-300.8864765542794</v>
      </c>
      <c r="G27" s="80">
        <f>G14+G18+G25</f>
        <v>-107.51171163653908</v>
      </c>
      <c r="H27" s="80">
        <f>H14+H18+H25</f>
        <v>24.0538502319896</v>
      </c>
      <c r="I27" s="80">
        <f>I14+I18+I25</f>
        <v>104.53676600941253</v>
      </c>
      <c r="J27" s="80">
        <f>J14+J18+J25</f>
        <v>138.54752388758425</v>
      </c>
    </row>
    <row r="28" spans="1:10" ht="15" customHeight="1" x14ac:dyDescent="0.3">
      <c r="A28" s="12" t="s">
        <v>229</v>
      </c>
      <c r="B28" s="12" t="s">
        <v>160</v>
      </c>
      <c r="F28" s="22">
        <f>'Data Input'!E31</f>
        <v>3941</v>
      </c>
      <c r="G28" s="22">
        <f>'Data Input'!F31</f>
        <v>3640.1135234457206</v>
      </c>
      <c r="H28" s="22">
        <f>'Data Input'!G31</f>
        <v>3532.6018118091815</v>
      </c>
      <c r="I28" s="22">
        <f>'Data Input'!H31</f>
        <v>3556.6556620411711</v>
      </c>
      <c r="J28" s="22">
        <f>'Data Input'!I31</f>
        <v>3661.1924280505837</v>
      </c>
    </row>
    <row r="29" spans="1:10" ht="15" customHeight="1" x14ac:dyDescent="0.3">
      <c r="A29" s="14" t="s">
        <v>230</v>
      </c>
      <c r="B29" s="12" t="s">
        <v>160</v>
      </c>
      <c r="F29" s="80">
        <f>F27+F28</f>
        <v>3640.1135234457206</v>
      </c>
      <c r="G29" s="80">
        <f>G27+G28</f>
        <v>3532.6018118091815</v>
      </c>
      <c r="H29" s="80">
        <f>H27+H28</f>
        <v>3556.6556620411711</v>
      </c>
      <c r="I29" s="80">
        <f>I27+I28</f>
        <v>3661.1924280505837</v>
      </c>
      <c r="J29" s="80">
        <f>J27+J28</f>
        <v>3799.7399519381679</v>
      </c>
    </row>
    <row r="31" spans="1:10" ht="15" customHeight="1" x14ac:dyDescent="0.3">
      <c r="A31" s="68" t="s">
        <v>231</v>
      </c>
      <c r="B31" s="69" t="s">
        <v>96</v>
      </c>
      <c r="C31" s="69" t="s">
        <v>64</v>
      </c>
      <c r="D31" s="69" t="s">
        <v>65</v>
      </c>
      <c r="E31" s="69" t="s">
        <v>66</v>
      </c>
      <c r="F31" s="69" t="s">
        <v>67</v>
      </c>
      <c r="G31" s="69" t="s">
        <v>68</v>
      </c>
      <c r="H31" s="69" t="s">
        <v>69</v>
      </c>
      <c r="I31" s="69" t="s">
        <v>70</v>
      </c>
      <c r="J31" s="69" t="s">
        <v>71</v>
      </c>
    </row>
    <row r="32" spans="1:10" ht="15" customHeight="1" x14ac:dyDescent="0.3">
      <c r="A32" s="12" t="s">
        <v>232</v>
      </c>
      <c r="B32" s="12" t="s">
        <v>160</v>
      </c>
      <c r="D32" s="75">
        <v>609</v>
      </c>
      <c r="E32" s="75">
        <v>531</v>
      </c>
      <c r="F32" s="79">
        <f>F6*Assumptions!F11</f>
        <v>561.25467737399993</v>
      </c>
      <c r="G32" s="79">
        <f>G6*Assumptions!G11</f>
        <v>595.29081666955722</v>
      </c>
      <c r="H32" s="79">
        <f>H6*Assumptions!H11</f>
        <v>634.57883105399389</v>
      </c>
      <c r="I32" s="79">
        <f>I6*Assumptions!I11</f>
        <v>668.20473019924623</v>
      </c>
      <c r="J32" s="79">
        <f>J6*Assumptions!J11</f>
        <v>700.06329294202419</v>
      </c>
    </row>
    <row r="33" spans="1:10" ht="15" customHeight="1" x14ac:dyDescent="0.3">
      <c r="A33" s="12" t="s">
        <v>233</v>
      </c>
      <c r="B33" s="12" t="s">
        <v>160</v>
      </c>
      <c r="D33" s="79">
        <f t="shared" ref="D33:J33" si="0">D6-D32</f>
        <v>5430</v>
      </c>
      <c r="E33" s="79">
        <f t="shared" si="0"/>
        <v>5681</v>
      </c>
      <c r="F33" s="79">
        <f t="shared" si="0"/>
        <v>6041.7415270259989</v>
      </c>
      <c r="G33" s="79">
        <f t="shared" si="0"/>
        <v>6408.130555913468</v>
      </c>
      <c r="H33" s="79">
        <f t="shared" si="0"/>
        <v>6831.0544754635812</v>
      </c>
      <c r="I33" s="79">
        <f t="shared" si="0"/>
        <v>7193.0273897918851</v>
      </c>
      <c r="J33" s="79">
        <f t="shared" si="0"/>
        <v>7535.9754475523769</v>
      </c>
    </row>
    <row r="34" spans="1:10" ht="15" customHeight="1" x14ac:dyDescent="0.3">
      <c r="A34" s="12" t="s">
        <v>234</v>
      </c>
      <c r="B34" s="12" t="s">
        <v>160</v>
      </c>
      <c r="F34" s="79">
        <f>F14+F18</f>
        <v>6472.9265918999999</v>
      </c>
      <c r="G34" s="79">
        <f>G14+G18</f>
        <v>6986.120938645523</v>
      </c>
      <c r="H34" s="79">
        <f>H14+H18</f>
        <v>7486.8551721475769</v>
      </c>
      <c r="I34" s="79">
        <f>I14+I18</f>
        <v>7883.3028602463291</v>
      </c>
      <c r="J34" s="79">
        <f>J14+J18</f>
        <v>8216.6716659204631</v>
      </c>
    </row>
    <row r="35" spans="1:10" ht="15" customHeight="1" x14ac:dyDescent="0.3">
      <c r="A35" s="12" t="s">
        <v>235</v>
      </c>
      <c r="B35" s="12" t="s">
        <v>160</v>
      </c>
      <c r="E35" s="79">
        <f>'Data Input'!E37+'Data Input'!E40-'Data Input'!E31</f>
        <v>24337</v>
      </c>
      <c r="F35" s="79">
        <f>'Data Input'!F37+'Data Input'!F40-'Data Input'!F31</f>
        <v>24637.886476554278</v>
      </c>
      <c r="G35" s="79">
        <f>'Data Input'!G37+'Data Input'!G40-'Data Input'!G31</f>
        <v>24745.398188190818</v>
      </c>
      <c r="H35" s="79">
        <f>'Data Input'!H37+'Data Input'!H40-'Data Input'!H31</f>
        <v>24721.344337958828</v>
      </c>
      <c r="I35" s="79">
        <f>'Data Input'!I37+'Data Input'!I40-'Data Input'!I31</f>
        <v>24616.807571949415</v>
      </c>
      <c r="J35" s="79">
        <f>'Data Input'!J37+'Data Input'!J40-'Data Input'!J31</f>
        <v>24478.260048061831</v>
      </c>
    </row>
    <row r="36" spans="1:10" ht="15" customHeight="1" x14ac:dyDescent="0.3">
      <c r="A36" s="12" t="s">
        <v>236</v>
      </c>
      <c r="B36" s="12" t="s">
        <v>237</v>
      </c>
      <c r="E36" s="81">
        <f>E35/('Data Input'!E7+E7)</f>
        <v>2.3520827292935151</v>
      </c>
      <c r="F36" s="81">
        <f>F35/('Data Input'!F7+F7)</f>
        <v>2.2887635887595961</v>
      </c>
      <c r="G36" s="81">
        <f>G35/('Data Input'!G7+G7)</f>
        <v>2.1897335582802619</v>
      </c>
      <c r="H36" s="81">
        <f>H35/('Data Input'!H7+H7)</f>
        <v>2.0742515549169331</v>
      </c>
      <c r="I36" s="81">
        <f>I35/('Data Input'!I7+I7)</f>
        <v>1.9678182751227908</v>
      </c>
      <c r="J36" s="81">
        <f>J35/('Data Input'!J7+J7)</f>
        <v>1.873385981015214</v>
      </c>
    </row>
    <row r="38" spans="1:10" ht="15" customHeight="1" x14ac:dyDescent="0.3">
      <c r="A38" s="66" t="s">
        <v>238</v>
      </c>
    </row>
    <row r="39" spans="1:10" ht="15" customHeight="1" x14ac:dyDescent="0.3">
      <c r="A39" s="66" t="s">
        <v>239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0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 x14ac:dyDescent="0.3"/>
  <cols>
    <col min="1" max="1" width="50" customWidth="1"/>
    <col min="2" max="2" width="9" customWidth="1"/>
    <col min="3" max="10" width="12" customWidth="1"/>
  </cols>
  <sheetData>
    <row r="1" spans="1:10" ht="15" customHeight="1" x14ac:dyDescent="0.3">
      <c r="A1" s="14" t="s">
        <v>92</v>
      </c>
    </row>
    <row r="2" spans="1:10" ht="15" customHeight="1" x14ac:dyDescent="0.3">
      <c r="A2" s="14" t="s">
        <v>240</v>
      </c>
    </row>
    <row r="3" spans="1:10" ht="15" customHeight="1" x14ac:dyDescent="0.3">
      <c r="A3" s="12" t="s">
        <v>149</v>
      </c>
    </row>
    <row r="4" spans="1:10" ht="15" customHeight="1" x14ac:dyDescent="0.3">
      <c r="A4" s="14" t="s">
        <v>241</v>
      </c>
      <c r="C4" s="15" t="str">
        <f>Assumptions!D4</f>
        <v>Base</v>
      </c>
    </row>
    <row r="5" spans="1:10" ht="15" customHeight="1" x14ac:dyDescent="0.3">
      <c r="A5" s="68" t="s">
        <v>242</v>
      </c>
      <c r="B5" s="69"/>
      <c r="C5" s="69" t="s">
        <v>243</v>
      </c>
      <c r="D5" s="68" t="s">
        <v>244</v>
      </c>
      <c r="E5" s="69"/>
      <c r="F5" s="69"/>
      <c r="G5" s="69"/>
      <c r="H5" s="69"/>
      <c r="I5" s="69"/>
      <c r="J5" s="69"/>
    </row>
    <row r="6" spans="1:10" ht="15" customHeight="1" x14ac:dyDescent="0.3">
      <c r="A6" s="12" t="s">
        <v>245</v>
      </c>
      <c r="C6" s="82">
        <v>46022</v>
      </c>
      <c r="D6" s="71" t="s">
        <v>246</v>
      </c>
    </row>
    <row r="7" spans="1:10" ht="15" customHeight="1" x14ac:dyDescent="0.3">
      <c r="A7" s="12" t="s">
        <v>247</v>
      </c>
      <c r="C7" s="83">
        <v>53.9</v>
      </c>
      <c r="D7" s="71" t="s">
        <v>248</v>
      </c>
    </row>
    <row r="8" spans="1:10" ht="15" customHeight="1" x14ac:dyDescent="0.3">
      <c r="A8" s="12" t="s">
        <v>249</v>
      </c>
      <c r="C8" s="84">
        <v>2179.5</v>
      </c>
      <c r="D8" s="71" t="s">
        <v>250</v>
      </c>
    </row>
    <row r="9" spans="1:10" ht="15" customHeight="1" x14ac:dyDescent="0.3">
      <c r="A9" s="12" t="s">
        <v>251</v>
      </c>
      <c r="C9" s="74">
        <v>3.2500000000000001E-2</v>
      </c>
      <c r="D9" s="71" t="s">
        <v>252</v>
      </c>
    </row>
    <row r="10" spans="1:10" ht="15" customHeight="1" x14ac:dyDescent="0.3">
      <c r="A10" s="12" t="s">
        <v>253</v>
      </c>
      <c r="C10" s="74">
        <v>5.5E-2</v>
      </c>
      <c r="D10" s="71" t="s">
        <v>254</v>
      </c>
    </row>
    <row r="11" spans="1:10" ht="15" customHeight="1" x14ac:dyDescent="0.3">
      <c r="A11" s="12" t="s">
        <v>255</v>
      </c>
      <c r="C11" s="83">
        <v>0.8</v>
      </c>
      <c r="D11" s="71" t="s">
        <v>256</v>
      </c>
    </row>
    <row r="12" spans="1:10" ht="15" customHeight="1" x14ac:dyDescent="0.3">
      <c r="A12" s="12" t="s">
        <v>257</v>
      </c>
      <c r="C12" s="85">
        <f>C9+C11*C10</f>
        <v>7.6500000000000012E-2</v>
      </c>
      <c r="D12" s="71" t="s">
        <v>258</v>
      </c>
    </row>
    <row r="13" spans="1:10" ht="15" customHeight="1" x14ac:dyDescent="0.3">
      <c r="A13" s="12" t="s">
        <v>259</v>
      </c>
      <c r="C13" s="74">
        <v>3.5000000000000003E-2</v>
      </c>
      <c r="D13" s="71" t="s">
        <v>260</v>
      </c>
    </row>
    <row r="14" spans="1:10" ht="15" customHeight="1" x14ac:dyDescent="0.3">
      <c r="A14" s="12" t="s">
        <v>261</v>
      </c>
      <c r="C14" s="31">
        <f>Assumptions!J10</f>
        <v>0.26</v>
      </c>
      <c r="D14" s="71" t="s">
        <v>262</v>
      </c>
    </row>
    <row r="15" spans="1:10" ht="15" customHeight="1" x14ac:dyDescent="0.3">
      <c r="A15" s="12" t="s">
        <v>263</v>
      </c>
      <c r="C15" s="85">
        <f>C13*(1-C14)</f>
        <v>2.5900000000000003E-2</v>
      </c>
    </row>
    <row r="16" spans="1:10" ht="15" customHeight="1" x14ac:dyDescent="0.3">
      <c r="A16" s="12" t="s">
        <v>264</v>
      </c>
      <c r="C16" s="79">
        <f>C7*C8</f>
        <v>117475.05</v>
      </c>
    </row>
    <row r="17" spans="1:10" ht="15" customHeight="1" x14ac:dyDescent="0.3">
      <c r="A17" s="12" t="s">
        <v>265</v>
      </c>
      <c r="C17" s="22">
        <f>'Data Input'!E37+'Data Input'!E40</f>
        <v>28278</v>
      </c>
      <c r="D17" s="71" t="s">
        <v>266</v>
      </c>
    </row>
    <row r="18" spans="1:10" ht="15" customHeight="1" x14ac:dyDescent="0.3">
      <c r="A18" s="12" t="s">
        <v>267</v>
      </c>
      <c r="C18" s="70">
        <f>C17/(C16+C17)</f>
        <v>0.19401309269342906</v>
      </c>
      <c r="D18" s="71" t="s">
        <v>268</v>
      </c>
    </row>
    <row r="19" spans="1:10" ht="15" customHeight="1" x14ac:dyDescent="0.3">
      <c r="A19" s="14" t="s">
        <v>50</v>
      </c>
      <c r="C19" s="86">
        <f>C12*(1-C18)+C15*C18</f>
        <v>6.6682937509712506E-2</v>
      </c>
    </row>
    <row r="20" spans="1:10" ht="15" customHeight="1" x14ac:dyDescent="0.3">
      <c r="A20" s="12" t="s">
        <v>269</v>
      </c>
      <c r="C20" s="74">
        <v>0.02</v>
      </c>
      <c r="D20" s="71" t="s">
        <v>270</v>
      </c>
    </row>
    <row r="21" spans="1:10" ht="15" customHeight="1" x14ac:dyDescent="0.3">
      <c r="A21" s="12" t="s">
        <v>271</v>
      </c>
      <c r="C21" s="87">
        <v>1</v>
      </c>
      <c r="D21" s="71" t="s">
        <v>272</v>
      </c>
    </row>
    <row r="22" spans="1:10" ht="15" customHeight="1" x14ac:dyDescent="0.3">
      <c r="A22" s="12" t="s">
        <v>273</v>
      </c>
      <c r="C22" s="75">
        <v>1121</v>
      </c>
      <c r="D22" s="71" t="s">
        <v>274</v>
      </c>
    </row>
    <row r="23" spans="1:10" ht="15" customHeight="1" x14ac:dyDescent="0.3">
      <c r="A23" s="12" t="s">
        <v>275</v>
      </c>
      <c r="C23" s="75">
        <v>1655</v>
      </c>
      <c r="D23" s="71" t="s">
        <v>276</v>
      </c>
    </row>
    <row r="25" spans="1:10" ht="15" customHeight="1" x14ac:dyDescent="0.3">
      <c r="A25" s="68" t="s">
        <v>277</v>
      </c>
      <c r="B25" s="69" t="s">
        <v>96</v>
      </c>
      <c r="C25" s="69" t="s">
        <v>64</v>
      </c>
      <c r="D25" s="78" t="s">
        <v>65</v>
      </c>
      <c r="E25" s="69" t="s">
        <v>66</v>
      </c>
      <c r="F25" s="69" t="s">
        <v>67</v>
      </c>
      <c r="G25" s="69" t="s">
        <v>68</v>
      </c>
      <c r="H25" s="69" t="s">
        <v>69</v>
      </c>
      <c r="I25" s="69" t="s">
        <v>70</v>
      </c>
      <c r="J25" s="69" t="s">
        <v>71</v>
      </c>
    </row>
    <row r="26" spans="1:10" ht="15" customHeight="1" x14ac:dyDescent="0.3">
      <c r="A26" s="12" t="s">
        <v>72</v>
      </c>
      <c r="B26" s="12" t="s">
        <v>160</v>
      </c>
      <c r="C26" s="22">
        <f>'Data Input'!C6</f>
        <v>51680</v>
      </c>
      <c r="D26" s="88">
        <f>'Data Input'!D6</f>
        <v>52479</v>
      </c>
      <c r="E26" s="22">
        <f>'Data Input'!E6</f>
        <v>50503</v>
      </c>
      <c r="F26" s="22">
        <f>'Data Input'!F6</f>
        <v>51260.544999999998</v>
      </c>
      <c r="G26" s="22">
        <f>'Data Input'!G6</f>
        <v>53054.664074999993</v>
      </c>
      <c r="H26" s="22">
        <f>'Data Input'!H6</f>
        <v>55176.850637999996</v>
      </c>
      <c r="I26" s="22">
        <f>'Data Input'!I6</f>
        <v>57383.924663519996</v>
      </c>
      <c r="J26" s="22">
        <f>'Data Input'!J6</f>
        <v>59392.362026743191</v>
      </c>
    </row>
    <row r="27" spans="1:10" ht="15" customHeight="1" x14ac:dyDescent="0.3">
      <c r="A27" s="12" t="s">
        <v>278</v>
      </c>
      <c r="B27" s="12" t="s">
        <v>160</v>
      </c>
      <c r="D27" s="89">
        <f>'Data Input'!D7+'Cash flow'!D7</f>
        <v>10065</v>
      </c>
      <c r="E27" s="79">
        <f>'Data Input'!E7+'Cash flow'!E7</f>
        <v>10347</v>
      </c>
      <c r="F27" s="79">
        <f>F28+F31</f>
        <v>10764.714449999999</v>
      </c>
      <c r="G27" s="79">
        <f>G28+G31</f>
        <v>11300.643447974997</v>
      </c>
      <c r="H27" s="79">
        <f>H28+H31</f>
        <v>11918.199737808</v>
      </c>
      <c r="I27" s="79">
        <f>I28+I31</f>
        <v>12509.69557664736</v>
      </c>
      <c r="J27" s="79">
        <f>J28+J31</f>
        <v>13066.319645883503</v>
      </c>
    </row>
    <row r="28" spans="1:10" ht="15" customHeight="1" x14ac:dyDescent="0.3">
      <c r="A28" s="12" t="s">
        <v>75</v>
      </c>
      <c r="B28" s="12" t="s">
        <v>160</v>
      </c>
      <c r="C28" s="22">
        <f>'Data Input'!C7</f>
        <v>8998</v>
      </c>
      <c r="D28" s="88">
        <f>'Data Input'!D7</f>
        <v>8829</v>
      </c>
      <c r="E28" s="22">
        <f>'Data Input'!E7</f>
        <v>9037</v>
      </c>
      <c r="F28" s="22">
        <f>'Data Input'!F7</f>
        <v>9431.9402799999989</v>
      </c>
      <c r="G28" s="22">
        <f>'Data Input'!G7</f>
        <v>9921.2221820249979</v>
      </c>
      <c r="H28" s="22">
        <f>'Data Input'!H7</f>
        <v>10483.601621219999</v>
      </c>
      <c r="I28" s="22">
        <f>'Data Input'!I7</f>
        <v>11017.71353539584</v>
      </c>
      <c r="J28" s="22">
        <f>'Data Input'!J7</f>
        <v>11522.118233188179</v>
      </c>
    </row>
    <row r="29" spans="1:10" ht="15" customHeight="1" x14ac:dyDescent="0.3">
      <c r="A29" s="12" t="s">
        <v>279</v>
      </c>
      <c r="B29" s="12" t="s">
        <v>160</v>
      </c>
      <c r="F29" s="79">
        <f>-F28*Assumptions!F10</f>
        <v>-2546.6238755999998</v>
      </c>
      <c r="G29" s="79">
        <f>-G28*Assumptions!G10</f>
        <v>-2629.1238782366245</v>
      </c>
      <c r="H29" s="79">
        <f>-H28*Assumptions!H10</f>
        <v>-2725.7364215171997</v>
      </c>
      <c r="I29" s="79">
        <f>-I28*Assumptions!I10</f>
        <v>-2864.6055192029185</v>
      </c>
      <c r="J29" s="79">
        <f>-J28*Assumptions!J10</f>
        <v>-2995.7507406289269</v>
      </c>
    </row>
    <row r="30" spans="1:10" ht="15" customHeight="1" x14ac:dyDescent="0.3">
      <c r="A30" s="14" t="s">
        <v>280</v>
      </c>
      <c r="B30" s="12" t="s">
        <v>160</v>
      </c>
      <c r="F30" s="80">
        <f>F28+F29</f>
        <v>6885.3164043999986</v>
      </c>
      <c r="G30" s="80">
        <f>G28+G29</f>
        <v>7292.0983037883734</v>
      </c>
      <c r="H30" s="80">
        <f>H28+H29</f>
        <v>7757.8651997027991</v>
      </c>
      <c r="I30" s="80">
        <f>I28+I29</f>
        <v>8153.1080161929222</v>
      </c>
      <c r="J30" s="80">
        <f>J28+J29</f>
        <v>8526.3674925592532</v>
      </c>
    </row>
    <row r="31" spans="1:10" ht="15" customHeight="1" x14ac:dyDescent="0.3">
      <c r="A31" s="12" t="s">
        <v>281</v>
      </c>
      <c r="B31" s="12" t="s">
        <v>160</v>
      </c>
      <c r="D31" s="88">
        <f>'Cash flow'!D7</f>
        <v>1236</v>
      </c>
      <c r="E31" s="22">
        <f>'Cash flow'!E7</f>
        <v>1310</v>
      </c>
      <c r="F31" s="22">
        <f>'Cash flow'!F7</f>
        <v>1332.7741699999999</v>
      </c>
      <c r="G31" s="22">
        <f>'Cash flow'!G7</f>
        <v>1379.4212659499997</v>
      </c>
      <c r="H31" s="22">
        <f>'Cash flow'!H7</f>
        <v>1434.5981165879998</v>
      </c>
      <c r="I31" s="22">
        <f>'Cash flow'!I7</f>
        <v>1491.9820412515198</v>
      </c>
      <c r="J31" s="22">
        <f>'Cash flow'!J7</f>
        <v>1544.2014126953229</v>
      </c>
    </row>
    <row r="32" spans="1:10" ht="15" customHeight="1" x14ac:dyDescent="0.3">
      <c r="A32" s="12" t="s">
        <v>282</v>
      </c>
      <c r="B32" s="12" t="s">
        <v>160</v>
      </c>
      <c r="F32" s="22">
        <f>'Cash flow'!F16+'Cash flow'!F17</f>
        <v>-1614.7071674999997</v>
      </c>
      <c r="G32" s="22">
        <f>'Cash flow'!G16+'Cash flow'!G17</f>
        <v>-1671.2219183625</v>
      </c>
      <c r="H32" s="22">
        <f>'Cash flow'!H16+'Cash flow'!H17</f>
        <v>-1738.0707950969997</v>
      </c>
      <c r="I32" s="22">
        <f>'Cash flow'!I16+'Cash flow'!I17</f>
        <v>-1807.5936269008798</v>
      </c>
      <c r="J32" s="22">
        <f>'Cash flow'!J16+'Cash flow'!J17</f>
        <v>-1870.8594038424108</v>
      </c>
    </row>
    <row r="33" spans="1:10" ht="15" customHeight="1" x14ac:dyDescent="0.3">
      <c r="A33" s="12" t="s">
        <v>283</v>
      </c>
      <c r="B33" s="12" t="s">
        <v>160</v>
      </c>
      <c r="F33" s="22">
        <f>SUM('Cash flow'!F10:F13)</f>
        <v>151.86338500000147</v>
      </c>
      <c r="G33" s="22">
        <f>SUM('Cash flow'!G10:G13)</f>
        <v>274.5002184749992</v>
      </c>
      <c r="H33" s="22">
        <f>SUM('Cash flow'!H10:H13)</f>
        <v>324.69454413900075</v>
      </c>
      <c r="I33" s="22">
        <f>SUM('Cash flow'!I10:I13)</f>
        <v>337.68232590455773</v>
      </c>
      <c r="J33" s="22">
        <f>SUM('Cash flow'!J10:J13)</f>
        <v>307.29091657314893</v>
      </c>
    </row>
    <row r="34" spans="1:10" ht="15" customHeight="1" x14ac:dyDescent="0.3">
      <c r="A34" s="14" t="s">
        <v>284</v>
      </c>
      <c r="B34" s="12" t="s">
        <v>160</v>
      </c>
      <c r="F34" s="80">
        <f>F30+F31+F32+F33</f>
        <v>6755.246791900001</v>
      </c>
      <c r="G34" s="80">
        <f>G30+G31+G32+G33</f>
        <v>7274.7978698508723</v>
      </c>
      <c r="H34" s="80">
        <f>H30+H31+H32+H33</f>
        <v>7779.0870653328002</v>
      </c>
      <c r="I34" s="80">
        <f>I30+I31+I32+I33</f>
        <v>8175.1787564481201</v>
      </c>
      <c r="J34" s="80">
        <f>J30+J31+J32+J33</f>
        <v>8507.0004179853149</v>
      </c>
    </row>
    <row r="35" spans="1:10" ht="15" customHeight="1" x14ac:dyDescent="0.3">
      <c r="A35" s="12" t="s">
        <v>285</v>
      </c>
      <c r="B35" s="12" t="s">
        <v>107</v>
      </c>
      <c r="G35" s="70">
        <f>G34/F34-1</f>
        <v>7.6910747150473968E-2</v>
      </c>
      <c r="H35" s="70">
        <f>H34/G34-1</f>
        <v>6.9320028474174622E-2</v>
      </c>
      <c r="I35" s="70">
        <f>I34/H34-1</f>
        <v>5.0917503273679499E-2</v>
      </c>
      <c r="J35" s="70">
        <f>J34/I34-1</f>
        <v>4.0588918165914478E-2</v>
      </c>
    </row>
    <row r="36" spans="1:10" ht="15" customHeight="1" x14ac:dyDescent="0.3">
      <c r="A36" s="12" t="s">
        <v>286</v>
      </c>
      <c r="B36" s="12" t="s">
        <v>287</v>
      </c>
      <c r="F36" s="90">
        <f>1-0.5*$C$21</f>
        <v>0.5</v>
      </c>
      <c r="G36" s="90">
        <f>F36+1</f>
        <v>1.5</v>
      </c>
      <c r="H36" s="90">
        <f>G36+1</f>
        <v>2.5</v>
      </c>
      <c r="I36" s="90">
        <f>H36+1</f>
        <v>3.5</v>
      </c>
      <c r="J36" s="90">
        <f>I36+1</f>
        <v>4.5</v>
      </c>
    </row>
    <row r="37" spans="1:10" ht="15" customHeight="1" x14ac:dyDescent="0.3">
      <c r="A37" s="12" t="s">
        <v>288</v>
      </c>
      <c r="B37" s="12" t="s">
        <v>237</v>
      </c>
      <c r="F37" s="91">
        <f>1/(1+$C$19)^F36</f>
        <v>0.96823845186632107</v>
      </c>
      <c r="G37" s="91">
        <f>1/(1+$C$19)^G36</f>
        <v>0.90770970249770699</v>
      </c>
      <c r="H37" s="91">
        <f>1/(1+$C$19)^H36</f>
        <v>0.85096486554557071</v>
      </c>
      <c r="I37" s="91">
        <f>1/(1+$C$19)^I36</f>
        <v>0.79776739237269612</v>
      </c>
      <c r="J37" s="91">
        <f>1/(1+$C$19)^J36</f>
        <v>0.747895522014415</v>
      </c>
    </row>
    <row r="38" spans="1:10" ht="15" customHeight="1" x14ac:dyDescent="0.3">
      <c r="A38" s="12" t="s">
        <v>289</v>
      </c>
      <c r="B38" s="12" t="s">
        <v>160</v>
      </c>
      <c r="F38" s="79">
        <f>F34*F37</f>
        <v>6540.6896957641893</v>
      </c>
      <c r="G38" s="79">
        <f>G34*G37</f>
        <v>6603.4046101732874</v>
      </c>
      <c r="H38" s="79">
        <f>H34*H37</f>
        <v>6619.7297786182144</v>
      </c>
      <c r="I38" s="79">
        <f>I34*I37</f>
        <v>6521.8910387122769</v>
      </c>
      <c r="J38" s="79">
        <f>J34*J37</f>
        <v>6362.3475183859737</v>
      </c>
    </row>
    <row r="40" spans="1:10" ht="15" customHeight="1" x14ac:dyDescent="0.3">
      <c r="A40" s="68" t="s">
        <v>290</v>
      </c>
      <c r="B40" s="69"/>
      <c r="C40" s="69"/>
      <c r="D40" s="69"/>
      <c r="E40" s="69"/>
      <c r="F40" s="69"/>
      <c r="G40" s="69"/>
      <c r="H40" s="69"/>
      <c r="I40" s="69"/>
      <c r="J40" s="69"/>
    </row>
    <row r="41" spans="1:10" ht="15" customHeight="1" x14ac:dyDescent="0.3">
      <c r="A41" s="12" t="s">
        <v>291</v>
      </c>
      <c r="C41" s="79">
        <f>SUM(F38:J38)</f>
        <v>32648.062641653942</v>
      </c>
    </row>
    <row r="42" spans="1:10" ht="15" customHeight="1" x14ac:dyDescent="0.3">
      <c r="A42" s="12" t="s">
        <v>292</v>
      </c>
      <c r="C42" s="79">
        <f>J34*(1+C20)</f>
        <v>8677.1404263450222</v>
      </c>
    </row>
    <row r="43" spans="1:10" ht="15" customHeight="1" x14ac:dyDescent="0.3">
      <c r="A43" s="12" t="s">
        <v>293</v>
      </c>
      <c r="C43" s="79">
        <f>C42/(C19-C20)</f>
        <v>185873.91645051731</v>
      </c>
    </row>
    <row r="44" spans="1:10" ht="15" customHeight="1" x14ac:dyDescent="0.3">
      <c r="A44" s="12" t="s">
        <v>294</v>
      </c>
      <c r="C44" s="79">
        <f>C43*J37</f>
        <v>139014.2697726234</v>
      </c>
    </row>
    <row r="45" spans="1:10" ht="15" customHeight="1" x14ac:dyDescent="0.3">
      <c r="A45" s="14" t="s">
        <v>45</v>
      </c>
      <c r="C45" s="80">
        <f>C41+C44</f>
        <v>171662.33241427733</v>
      </c>
    </row>
    <row r="46" spans="1:10" ht="15" customHeight="1" x14ac:dyDescent="0.3">
      <c r="A46" s="12" t="s">
        <v>295</v>
      </c>
      <c r="C46" s="70">
        <f>C44/C45</f>
        <v>0.80981230895276735</v>
      </c>
    </row>
    <row r="47" spans="1:10" ht="15" customHeight="1" x14ac:dyDescent="0.3">
      <c r="A47" s="12" t="s">
        <v>296</v>
      </c>
      <c r="C47" s="81">
        <f>C43/J27</f>
        <v>14.225422421001022</v>
      </c>
      <c r="D47" s="71" t="s">
        <v>297</v>
      </c>
    </row>
    <row r="48" spans="1:10" ht="15" customHeight="1" x14ac:dyDescent="0.3">
      <c r="A48" s="12" t="s">
        <v>298</v>
      </c>
      <c r="C48" s="79">
        <f>-C17</f>
        <v>-28278</v>
      </c>
    </row>
    <row r="49" spans="1:10" ht="15" customHeight="1" x14ac:dyDescent="0.3">
      <c r="A49" s="12" t="s">
        <v>299</v>
      </c>
      <c r="C49" s="22">
        <f>'Data Input'!E31</f>
        <v>3941</v>
      </c>
    </row>
    <row r="50" spans="1:10" ht="15" customHeight="1" x14ac:dyDescent="0.3">
      <c r="A50" s="12" t="s">
        <v>300</v>
      </c>
      <c r="C50" s="79">
        <f>C22</f>
        <v>1121</v>
      </c>
    </row>
    <row r="51" spans="1:10" ht="15" customHeight="1" x14ac:dyDescent="0.3">
      <c r="A51" s="12" t="s">
        <v>301</v>
      </c>
      <c r="C51" s="79">
        <f>C23</f>
        <v>1655</v>
      </c>
    </row>
    <row r="52" spans="1:10" ht="15" customHeight="1" x14ac:dyDescent="0.3">
      <c r="A52" s="12" t="s">
        <v>302</v>
      </c>
      <c r="C52" s="22">
        <f>-'Data Input'!E47</f>
        <v>-2057</v>
      </c>
    </row>
    <row r="53" spans="1:10" ht="15" customHeight="1" x14ac:dyDescent="0.3">
      <c r="A53" s="14" t="s">
        <v>303</v>
      </c>
      <c r="C53" s="80">
        <f>C45+SUM(C48:C52)</f>
        <v>148044.33241427733</v>
      </c>
      <c r="D53" s="71" t="s">
        <v>304</v>
      </c>
    </row>
    <row r="54" spans="1:10" ht="15" customHeight="1" x14ac:dyDescent="0.3">
      <c r="A54" s="12" t="s">
        <v>249</v>
      </c>
      <c r="C54" s="92">
        <f>C8</f>
        <v>2179.5</v>
      </c>
    </row>
    <row r="55" spans="1:10" ht="15" customHeight="1" x14ac:dyDescent="0.3">
      <c r="A55" s="14" t="s">
        <v>305</v>
      </c>
      <c r="C55" s="93">
        <f>C53/C54</f>
        <v>67.925823544059341</v>
      </c>
    </row>
    <row r="56" spans="1:10" ht="15" customHeight="1" x14ac:dyDescent="0.3">
      <c r="A56" s="12" t="s">
        <v>247</v>
      </c>
      <c r="C56" s="94">
        <f>C7</f>
        <v>53.9</v>
      </c>
    </row>
    <row r="57" spans="1:10" ht="15" customHeight="1" x14ac:dyDescent="0.3">
      <c r="A57" s="14" t="s">
        <v>306</v>
      </c>
      <c r="C57" s="95">
        <f>C55/C56-1</f>
        <v>0.26021936074321594</v>
      </c>
    </row>
    <row r="58" spans="1:10" ht="15" customHeight="1" x14ac:dyDescent="0.3">
      <c r="A58" s="12" t="s">
        <v>307</v>
      </c>
      <c r="C58" s="81">
        <f>(C16-SUM(C48:C52))/E27</f>
        <v>13.63613124577172</v>
      </c>
      <c r="D58" s="71" t="s">
        <v>308</v>
      </c>
    </row>
    <row r="60" spans="1:10" ht="15" customHeight="1" x14ac:dyDescent="0.3">
      <c r="A60" s="68" t="s">
        <v>309</v>
      </c>
      <c r="B60" s="69"/>
      <c r="C60" s="69"/>
      <c r="D60" s="69"/>
      <c r="E60" s="69"/>
      <c r="F60" s="69"/>
      <c r="G60" s="69"/>
      <c r="H60" s="69"/>
      <c r="I60" s="69"/>
      <c r="J60" s="69"/>
    </row>
    <row r="61" spans="1:10" ht="15" customHeight="1" x14ac:dyDescent="0.3">
      <c r="A61" s="66" t="s">
        <v>310</v>
      </c>
      <c r="C61" s="86">
        <f>$C$20+(-0.01)</f>
        <v>0.01</v>
      </c>
      <c r="D61" s="86">
        <f>$C$20+(-0.005)</f>
        <v>1.4999999999999999E-2</v>
      </c>
      <c r="E61" s="86">
        <f>$C$20+(0)</f>
        <v>0.02</v>
      </c>
      <c r="F61" s="86">
        <f>$C$20+(0.005)</f>
        <v>2.5000000000000001E-2</v>
      </c>
      <c r="G61" s="86">
        <f>$C$20+(0.01)</f>
        <v>0.03</v>
      </c>
    </row>
    <row r="62" spans="1:10" ht="15" customHeight="1" x14ac:dyDescent="0.3">
      <c r="B62" s="86">
        <f>$C$19+(-0.01)</f>
        <v>5.6682937509712504E-2</v>
      </c>
      <c r="C62" s="94">
        <f t="shared" ref="C62:G66" si="0">(SUMPRODUCT($F$34:$J$34,(1+$B62)^(-$F$36:$J$36))+$J$34*(1+C$61)/($B62-C$61)*(1+$B62)^(-$J$36)+SUM($C$48:$C$52))/$C$54</f>
        <v>70.391354560252026</v>
      </c>
      <c r="D62" s="94">
        <f t="shared" si="0"/>
        <v>78.66061480261088</v>
      </c>
      <c r="E62" s="94">
        <f t="shared" si="0"/>
        <v>89.184127513210427</v>
      </c>
      <c r="F62" s="94">
        <f t="shared" si="0"/>
        <v>103.02914811977874</v>
      </c>
      <c r="G62" s="94">
        <f t="shared" si="0"/>
        <v>122.0628855239368</v>
      </c>
    </row>
    <row r="63" spans="1:10" ht="15" customHeight="1" x14ac:dyDescent="0.3">
      <c r="B63" s="86">
        <f>$C$19+(-0.005)</f>
        <v>6.1682937509712508E-2</v>
      </c>
      <c r="C63" s="94">
        <f t="shared" si="0"/>
        <v>62.585786721056692</v>
      </c>
      <c r="D63" s="94">
        <f t="shared" si="0"/>
        <v>69.145763273049667</v>
      </c>
      <c r="E63" s="94">
        <f t="shared" si="0"/>
        <v>77.279519636137906</v>
      </c>
      <c r="F63" s="94">
        <f t="shared" si="0"/>
        <v>87.630589255814357</v>
      </c>
      <c r="G63" s="94">
        <f t="shared" si="0"/>
        <v>101.248739024389</v>
      </c>
    </row>
    <row r="64" spans="1:10" ht="15" customHeight="1" x14ac:dyDescent="0.3">
      <c r="B64" s="86">
        <f>$C$19+(0)</f>
        <v>6.6682937509712506E-2</v>
      </c>
      <c r="C64" s="94">
        <f t="shared" si="0"/>
        <v>56.158292924403931</v>
      </c>
      <c r="D64" s="94">
        <f t="shared" si="0"/>
        <v>61.472840849023797</v>
      </c>
      <c r="E64" s="94">
        <f t="shared" si="0"/>
        <v>67.925823544059341</v>
      </c>
      <c r="F64" s="94">
        <f t="shared" si="0"/>
        <v>75.926917548076375</v>
      </c>
      <c r="G64" s="94">
        <f t="shared" si="0"/>
        <v>86.109160213347337</v>
      </c>
    </row>
    <row r="65" spans="1:10" ht="15" customHeight="1" x14ac:dyDescent="0.3">
      <c r="B65" s="86">
        <f>$C$19+(0.005)</f>
        <v>7.168293750971251E-2</v>
      </c>
      <c r="C65" s="94">
        <f t="shared" si="0"/>
        <v>50.773730071896082</v>
      </c>
      <c r="D65" s="94">
        <f t="shared" si="0"/>
        <v>55.154395461373419</v>
      </c>
      <c r="E65" s="94">
        <f t="shared" si="0"/>
        <v>60.382664644395639</v>
      </c>
      <c r="F65" s="94">
        <f t="shared" si="0"/>
        <v>66.730886739964149</v>
      </c>
      <c r="G65" s="94">
        <f t="shared" si="0"/>
        <v>74.602087414978897</v>
      </c>
    </row>
    <row r="66" spans="1:10" ht="15" customHeight="1" x14ac:dyDescent="0.3">
      <c r="B66" s="86">
        <f>$C$19+(0.01)</f>
        <v>7.6682937509712501E-2</v>
      </c>
      <c r="C66" s="94">
        <f t="shared" si="0"/>
        <v>46.197474094645386</v>
      </c>
      <c r="D66" s="94">
        <f t="shared" si="0"/>
        <v>49.861026486550919</v>
      </c>
      <c r="E66" s="94">
        <f t="shared" si="0"/>
        <v>54.170902543541324</v>
      </c>
      <c r="F66" s="94">
        <f t="shared" si="0"/>
        <v>59.314685546355093</v>
      </c>
      <c r="G66" s="94">
        <f t="shared" si="0"/>
        <v>65.560323590262556</v>
      </c>
    </row>
    <row r="68" spans="1:10" ht="15" customHeight="1" x14ac:dyDescent="0.3">
      <c r="A68" s="66" t="s">
        <v>311</v>
      </c>
    </row>
    <row r="70" spans="1:10" ht="15" customHeight="1" x14ac:dyDescent="0.3">
      <c r="A70" s="68" t="s">
        <v>312</v>
      </c>
      <c r="B70" s="69"/>
      <c r="C70" s="69"/>
      <c r="D70" s="69"/>
      <c r="E70" s="69"/>
      <c r="F70" s="69"/>
      <c r="G70" s="69"/>
      <c r="H70" s="69"/>
      <c r="I70" s="69"/>
      <c r="J70" s="69"/>
    </row>
    <row r="71" spans="1:10" ht="15" customHeight="1" x14ac:dyDescent="0.3">
      <c r="C71" s="28" t="s">
        <v>55</v>
      </c>
      <c r="D71" s="28" t="s">
        <v>56</v>
      </c>
      <c r="E71" s="28" t="s">
        <v>57</v>
      </c>
    </row>
    <row r="72" spans="1:10" ht="15" customHeight="1" x14ac:dyDescent="0.3">
      <c r="A72" s="12" t="s">
        <v>313</v>
      </c>
      <c r="C72" s="75">
        <v>54670.090940551803</v>
      </c>
      <c r="D72" s="75">
        <v>59392.362026743198</v>
      </c>
      <c r="E72" s="75">
        <v>62921.379947343798</v>
      </c>
    </row>
    <row r="73" spans="1:10" ht="15" customHeight="1" x14ac:dyDescent="0.3">
      <c r="A73" s="12" t="s">
        <v>60</v>
      </c>
      <c r="C73" s="77">
        <v>0.17499999999999999</v>
      </c>
      <c r="D73" s="77">
        <v>0.19400000000000001</v>
      </c>
      <c r="E73" s="77">
        <v>0.20499999999999999</v>
      </c>
    </row>
    <row r="74" spans="1:10" ht="15" customHeight="1" x14ac:dyDescent="0.3">
      <c r="A74" s="12" t="s">
        <v>314</v>
      </c>
      <c r="C74" s="75">
        <v>6570.1925712943103</v>
      </c>
      <c r="D74" s="75">
        <v>8507.0004179853204</v>
      </c>
      <c r="E74" s="75">
        <v>9874.83642509331</v>
      </c>
    </row>
    <row r="75" spans="1:10" ht="15" customHeight="1" x14ac:dyDescent="0.3">
      <c r="A75" s="12" t="s">
        <v>315</v>
      </c>
      <c r="C75" s="75">
        <v>134139.708199143</v>
      </c>
      <c r="D75" s="75">
        <v>171662.33241427701</v>
      </c>
      <c r="E75" s="75">
        <v>198253.682329843</v>
      </c>
    </row>
    <row r="76" spans="1:10" ht="15" customHeight="1" x14ac:dyDescent="0.3">
      <c r="A76" s="12" t="s">
        <v>316</v>
      </c>
      <c r="C76" s="75">
        <v>110521.708199143</v>
      </c>
      <c r="D76" s="75">
        <v>148044.33241427701</v>
      </c>
      <c r="E76" s="75">
        <v>174635.682329843</v>
      </c>
    </row>
    <row r="77" spans="1:10" ht="15" customHeight="1" x14ac:dyDescent="0.3">
      <c r="A77" s="14" t="s">
        <v>305</v>
      </c>
      <c r="C77" s="96">
        <v>50.709661940418798</v>
      </c>
      <c r="D77" s="96">
        <v>67.925823544059298</v>
      </c>
      <c r="E77" s="96">
        <v>80.126488795523102</v>
      </c>
    </row>
    <row r="78" spans="1:10" ht="15" customHeight="1" x14ac:dyDescent="0.3">
      <c r="A78" s="12" t="s">
        <v>306</v>
      </c>
      <c r="C78" s="77">
        <v>-5.9189945446775603E-2</v>
      </c>
      <c r="D78" s="77">
        <v>0.260219360743216</v>
      </c>
      <c r="E78" s="77">
        <v>0.48657678655886999</v>
      </c>
    </row>
    <row r="80" spans="1:10" ht="15" customHeight="1" x14ac:dyDescent="0.3">
      <c r="A80" s="66" t="s">
        <v>317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Summary</vt:lpstr>
      <vt:lpstr>Data Input</vt:lpstr>
      <vt:lpstr>Assumptions</vt:lpstr>
      <vt:lpstr>Cash flow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Jhanvee Parikh</dc:creator>
  <dc:description/>
  <cp:lastModifiedBy>Jhanvee Parikh</cp:lastModifiedBy>
  <cp:revision>2</cp:revision>
  <dcterms:created xsi:type="dcterms:W3CDTF">2026-05-19T04:56:47Z</dcterms:created>
  <dcterms:modified xsi:type="dcterms:W3CDTF">2026-10-30T06:10:53Z</dcterms:modified>
  <dc:language>en-US</dc:language>
</cp:coreProperties>
</file>